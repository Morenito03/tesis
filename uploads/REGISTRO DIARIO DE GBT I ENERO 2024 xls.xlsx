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eno\Downloads\"/>
    </mc:Choice>
  </mc:AlternateContent>
  <xr:revisionPtr revIDLastSave="0" documentId="13_ncr:1_{E80599F5-7BFB-4D0B-98CB-445B21832608}" xr6:coauthVersionLast="47" xr6:coauthVersionMax="47" xr10:uidLastSave="{00000000-0000-0000-0000-000000000000}"/>
  <bookViews>
    <workbookView xWindow="-120" yWindow="-120" windowWidth="20730" windowHeight="11040" xr2:uid="{9B74AC92-7898-421B-A6E1-7EF0A1AB2920}"/>
  </bookViews>
  <sheets>
    <sheet name="CONSOLIDADO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1" i="2"/>
  <c r="C21" i="2"/>
  <c r="D21" i="2"/>
  <c r="E21" i="2"/>
  <c r="F21" i="2"/>
  <c r="G21" i="2"/>
  <c r="H21" i="2"/>
  <c r="H20" i="2" s="1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B37" i="2"/>
  <c r="C37" i="2"/>
  <c r="D37" i="2"/>
  <c r="E37" i="2"/>
  <c r="F37" i="2"/>
  <c r="G37" i="2"/>
  <c r="H37" i="2"/>
  <c r="I37" i="2"/>
  <c r="J37" i="2"/>
  <c r="K37" i="2"/>
  <c r="L37" i="2"/>
  <c r="B38" i="2"/>
  <c r="C38" i="2"/>
  <c r="D38" i="2"/>
  <c r="E38" i="2"/>
  <c r="F38" i="2"/>
  <c r="G38" i="2"/>
  <c r="H38" i="2"/>
  <c r="I38" i="2"/>
  <c r="J38" i="2"/>
  <c r="K38" i="2"/>
  <c r="L38" i="2"/>
  <c r="B39" i="2"/>
  <c r="C39" i="2"/>
  <c r="D39" i="2"/>
  <c r="E39" i="2"/>
  <c r="F39" i="2"/>
  <c r="G39" i="2"/>
  <c r="H39" i="2"/>
  <c r="I39" i="2"/>
  <c r="J39" i="2"/>
  <c r="K39" i="2"/>
  <c r="L39" i="2"/>
  <c r="B41" i="2"/>
  <c r="C41" i="2"/>
  <c r="D41" i="2"/>
  <c r="E41" i="2"/>
  <c r="F41" i="2"/>
  <c r="G41" i="2"/>
  <c r="H41" i="2"/>
  <c r="I41" i="2"/>
  <c r="J41" i="2"/>
  <c r="K41" i="2"/>
  <c r="L41" i="2"/>
  <c r="B42" i="2"/>
  <c r="C42" i="2"/>
  <c r="D42" i="2"/>
  <c r="E42" i="2"/>
  <c r="F42" i="2"/>
  <c r="G42" i="2"/>
  <c r="H42" i="2"/>
  <c r="I42" i="2"/>
  <c r="J42" i="2"/>
  <c r="K42" i="2"/>
  <c r="L42" i="2"/>
  <c r="B43" i="2"/>
  <c r="C43" i="2"/>
  <c r="D43" i="2"/>
  <c r="E43" i="2"/>
  <c r="F43" i="2"/>
  <c r="G43" i="2"/>
  <c r="H43" i="2"/>
  <c r="I43" i="2"/>
  <c r="J43" i="2"/>
  <c r="K43" i="2"/>
  <c r="L43" i="2"/>
  <c r="B44" i="2"/>
  <c r="C44" i="2"/>
  <c r="D44" i="2"/>
  <c r="E44" i="2"/>
  <c r="F44" i="2"/>
  <c r="G44" i="2"/>
  <c r="H44" i="2"/>
  <c r="I44" i="2"/>
  <c r="J44" i="2"/>
  <c r="K44" i="2"/>
  <c r="L44" i="2"/>
  <c r="B45" i="2"/>
  <c r="C45" i="2"/>
  <c r="D45" i="2"/>
  <c r="E45" i="2"/>
  <c r="F45" i="2"/>
  <c r="G45" i="2"/>
  <c r="H45" i="2"/>
  <c r="I45" i="2"/>
  <c r="J45" i="2"/>
  <c r="K45" i="2"/>
  <c r="L45" i="2"/>
  <c r="B46" i="2"/>
  <c r="C46" i="2"/>
  <c r="D46" i="2"/>
  <c r="E46" i="2"/>
  <c r="F46" i="2"/>
  <c r="G46" i="2"/>
  <c r="H46" i="2"/>
  <c r="I46" i="2"/>
  <c r="J46" i="2"/>
  <c r="K46" i="2"/>
  <c r="L46" i="2"/>
  <c r="B47" i="2"/>
  <c r="C47" i="2"/>
  <c r="D47" i="2"/>
  <c r="E47" i="2"/>
  <c r="F47" i="2"/>
  <c r="G47" i="2"/>
  <c r="H47" i="2"/>
  <c r="I47" i="2"/>
  <c r="J47" i="2"/>
  <c r="K47" i="2"/>
  <c r="L47" i="2"/>
  <c r="B48" i="2"/>
  <c r="C48" i="2"/>
  <c r="D48" i="2"/>
  <c r="E48" i="2"/>
  <c r="F48" i="2"/>
  <c r="G48" i="2"/>
  <c r="H48" i="2"/>
  <c r="I48" i="2"/>
  <c r="J48" i="2"/>
  <c r="K48" i="2"/>
  <c r="L48" i="2"/>
  <c r="B49" i="2"/>
  <c r="C49" i="2"/>
  <c r="D49" i="2"/>
  <c r="E49" i="2"/>
  <c r="F49" i="2"/>
  <c r="G49" i="2"/>
  <c r="H49" i="2"/>
  <c r="I49" i="2"/>
  <c r="J49" i="2"/>
  <c r="K49" i="2"/>
  <c r="L49" i="2"/>
  <c r="B50" i="2"/>
  <c r="C50" i="2"/>
  <c r="D50" i="2"/>
  <c r="E50" i="2"/>
  <c r="F50" i="2"/>
  <c r="G50" i="2"/>
  <c r="H50" i="2"/>
  <c r="I50" i="2"/>
  <c r="J50" i="2"/>
  <c r="K50" i="2"/>
  <c r="L50" i="2"/>
  <c r="B51" i="2"/>
  <c r="C51" i="2"/>
  <c r="D51" i="2"/>
  <c r="E51" i="2"/>
  <c r="F51" i="2"/>
  <c r="G51" i="2"/>
  <c r="H51" i="2"/>
  <c r="I51" i="2"/>
  <c r="J51" i="2"/>
  <c r="K51" i="2"/>
  <c r="L51" i="2"/>
  <c r="B52" i="2"/>
  <c r="C52" i="2"/>
  <c r="D52" i="2"/>
  <c r="E52" i="2"/>
  <c r="F52" i="2"/>
  <c r="G52" i="2"/>
  <c r="H52" i="2"/>
  <c r="I52" i="2"/>
  <c r="J52" i="2"/>
  <c r="K52" i="2"/>
  <c r="L52" i="2"/>
  <c r="B53" i="2"/>
  <c r="C53" i="2"/>
  <c r="D53" i="2"/>
  <c r="E53" i="2"/>
  <c r="F53" i="2"/>
  <c r="G53" i="2"/>
  <c r="H53" i="2"/>
  <c r="I53" i="2"/>
  <c r="J53" i="2"/>
  <c r="K53" i="2"/>
  <c r="L53" i="2"/>
  <c r="B54" i="2"/>
  <c r="C54" i="2"/>
  <c r="D54" i="2"/>
  <c r="E54" i="2"/>
  <c r="F54" i="2"/>
  <c r="G54" i="2"/>
  <c r="H54" i="2"/>
  <c r="I54" i="2"/>
  <c r="J54" i="2"/>
  <c r="K54" i="2"/>
  <c r="L54" i="2"/>
  <c r="B55" i="2"/>
  <c r="C55" i="2"/>
  <c r="D55" i="2"/>
  <c r="E55" i="2"/>
  <c r="F55" i="2"/>
  <c r="G55" i="2"/>
  <c r="H55" i="2"/>
  <c r="I55" i="2"/>
  <c r="J55" i="2"/>
  <c r="K55" i="2"/>
  <c r="L55" i="2"/>
  <c r="B56" i="2"/>
  <c r="C56" i="2"/>
  <c r="D56" i="2"/>
  <c r="E56" i="2"/>
  <c r="F56" i="2"/>
  <c r="G56" i="2"/>
  <c r="H56" i="2"/>
  <c r="I56" i="2"/>
  <c r="J56" i="2"/>
  <c r="K56" i="2"/>
  <c r="L56" i="2"/>
  <c r="B60" i="2"/>
  <c r="C60" i="2"/>
  <c r="D60" i="2"/>
  <c r="E60" i="2"/>
  <c r="F60" i="2"/>
  <c r="G60" i="2"/>
  <c r="H60" i="2"/>
  <c r="I60" i="2"/>
  <c r="J60" i="2"/>
  <c r="K60" i="2"/>
  <c r="L60" i="2"/>
  <c r="B61" i="2"/>
  <c r="C61" i="2"/>
  <c r="D61" i="2"/>
  <c r="E61" i="2"/>
  <c r="F61" i="2"/>
  <c r="G61" i="2"/>
  <c r="H61" i="2"/>
  <c r="I61" i="2"/>
  <c r="J61" i="2"/>
  <c r="K61" i="2"/>
  <c r="L61" i="2"/>
  <c r="B62" i="2"/>
  <c r="C62" i="2"/>
  <c r="D62" i="2"/>
  <c r="E62" i="2"/>
  <c r="F62" i="2"/>
  <c r="G62" i="2"/>
  <c r="H62" i="2"/>
  <c r="I62" i="2"/>
  <c r="J62" i="2"/>
  <c r="K62" i="2"/>
  <c r="L62" i="2"/>
  <c r="B64" i="2"/>
  <c r="C64" i="2"/>
  <c r="D64" i="2"/>
  <c r="E64" i="2"/>
  <c r="F64" i="2"/>
  <c r="G64" i="2"/>
  <c r="H64" i="2"/>
  <c r="I64" i="2"/>
  <c r="J64" i="2"/>
  <c r="K64" i="2"/>
  <c r="L64" i="2"/>
  <c r="B65" i="2"/>
  <c r="C65" i="2"/>
  <c r="D65" i="2"/>
  <c r="E65" i="2"/>
  <c r="F65" i="2"/>
  <c r="G65" i="2"/>
  <c r="H65" i="2"/>
  <c r="I65" i="2"/>
  <c r="J65" i="2"/>
  <c r="K65" i="2"/>
  <c r="L65" i="2"/>
  <c r="B66" i="2"/>
  <c r="C66" i="2"/>
  <c r="D66" i="2"/>
  <c r="E66" i="2"/>
  <c r="F66" i="2"/>
  <c r="G66" i="2"/>
  <c r="H66" i="2"/>
  <c r="I66" i="2"/>
  <c r="J66" i="2"/>
  <c r="K66" i="2"/>
  <c r="L66" i="2"/>
  <c r="B68" i="2"/>
  <c r="C68" i="2"/>
  <c r="D68" i="2"/>
  <c r="E68" i="2"/>
  <c r="F68" i="2"/>
  <c r="G68" i="2"/>
  <c r="H68" i="2"/>
  <c r="I68" i="2"/>
  <c r="J68" i="2"/>
  <c r="K68" i="2"/>
  <c r="L68" i="2"/>
  <c r="B69" i="2"/>
  <c r="C69" i="2"/>
  <c r="D69" i="2"/>
  <c r="E69" i="2"/>
  <c r="F69" i="2"/>
  <c r="G69" i="2"/>
  <c r="H69" i="2"/>
  <c r="I69" i="2"/>
  <c r="J69" i="2"/>
  <c r="K69" i="2"/>
  <c r="L69" i="2"/>
  <c r="B70" i="2"/>
  <c r="C70" i="2"/>
  <c r="D70" i="2"/>
  <c r="E70" i="2"/>
  <c r="F70" i="2"/>
  <c r="G70" i="2"/>
  <c r="H70" i="2"/>
  <c r="I70" i="2"/>
  <c r="J70" i="2"/>
  <c r="K70" i="2"/>
  <c r="L70" i="2"/>
  <c r="B72" i="2"/>
  <c r="C72" i="2"/>
  <c r="D72" i="2"/>
  <c r="E72" i="2"/>
  <c r="F72" i="2"/>
  <c r="G72" i="2"/>
  <c r="H72" i="2"/>
  <c r="I72" i="2"/>
  <c r="J72" i="2"/>
  <c r="K72" i="2"/>
  <c r="L72" i="2"/>
  <c r="B73" i="2"/>
  <c r="C73" i="2"/>
  <c r="D73" i="2"/>
  <c r="E73" i="2"/>
  <c r="F73" i="2"/>
  <c r="G73" i="2"/>
  <c r="H73" i="2"/>
  <c r="I73" i="2"/>
  <c r="J73" i="2"/>
  <c r="K73" i="2"/>
  <c r="L73" i="2"/>
  <c r="B74" i="2"/>
  <c r="C74" i="2"/>
  <c r="D74" i="2"/>
  <c r="E74" i="2"/>
  <c r="F74" i="2"/>
  <c r="G74" i="2"/>
  <c r="H74" i="2"/>
  <c r="I74" i="2"/>
  <c r="J74" i="2"/>
  <c r="K74" i="2"/>
  <c r="L74" i="2"/>
  <c r="B75" i="2"/>
  <c r="C75" i="2"/>
  <c r="D75" i="2"/>
  <c r="E75" i="2"/>
  <c r="F75" i="2"/>
  <c r="G75" i="2"/>
  <c r="H75" i="2"/>
  <c r="I75" i="2"/>
  <c r="J75" i="2"/>
  <c r="K75" i="2"/>
  <c r="L75" i="2"/>
  <c r="B76" i="2"/>
  <c r="C76" i="2"/>
  <c r="D76" i="2"/>
  <c r="E76" i="2"/>
  <c r="F76" i="2"/>
  <c r="G76" i="2"/>
  <c r="H76" i="2"/>
  <c r="I76" i="2"/>
  <c r="J76" i="2"/>
  <c r="K76" i="2"/>
  <c r="L76" i="2"/>
  <c r="B77" i="2"/>
  <c r="C77" i="2"/>
  <c r="D77" i="2"/>
  <c r="E77" i="2"/>
  <c r="F77" i="2"/>
  <c r="G77" i="2"/>
  <c r="H77" i="2"/>
  <c r="I77" i="2"/>
  <c r="J77" i="2"/>
  <c r="K77" i="2"/>
  <c r="L77" i="2"/>
  <c r="B79" i="2"/>
  <c r="C79" i="2"/>
  <c r="D79" i="2"/>
  <c r="E79" i="2"/>
  <c r="F79" i="2"/>
  <c r="G79" i="2"/>
  <c r="H79" i="2"/>
  <c r="I79" i="2"/>
  <c r="J79" i="2"/>
  <c r="K79" i="2"/>
  <c r="L79" i="2"/>
  <c r="B80" i="2"/>
  <c r="C80" i="2"/>
  <c r="D80" i="2"/>
  <c r="E80" i="2"/>
  <c r="F80" i="2"/>
  <c r="G80" i="2"/>
  <c r="H80" i="2"/>
  <c r="I80" i="2"/>
  <c r="J80" i="2"/>
  <c r="K80" i="2"/>
  <c r="L80" i="2"/>
  <c r="B81" i="2"/>
  <c r="C81" i="2"/>
  <c r="D81" i="2"/>
  <c r="E81" i="2"/>
  <c r="F81" i="2"/>
  <c r="G81" i="2"/>
  <c r="H81" i="2"/>
  <c r="I81" i="2"/>
  <c r="J81" i="2"/>
  <c r="K81" i="2"/>
  <c r="L81" i="2"/>
  <c r="B83" i="2"/>
  <c r="C83" i="2"/>
  <c r="D83" i="2"/>
  <c r="E83" i="2"/>
  <c r="F83" i="2"/>
  <c r="G83" i="2"/>
  <c r="H83" i="2"/>
  <c r="I83" i="2"/>
  <c r="J83" i="2"/>
  <c r="K83" i="2"/>
  <c r="L83" i="2"/>
  <c r="B84" i="2"/>
  <c r="C84" i="2"/>
  <c r="D84" i="2"/>
  <c r="E84" i="2"/>
  <c r="F84" i="2"/>
  <c r="G84" i="2"/>
  <c r="H84" i="2"/>
  <c r="I84" i="2"/>
  <c r="J84" i="2"/>
  <c r="K84" i="2"/>
  <c r="L84" i="2"/>
  <c r="B85" i="2"/>
  <c r="C85" i="2"/>
  <c r="D85" i="2"/>
  <c r="E85" i="2"/>
  <c r="F85" i="2"/>
  <c r="G85" i="2"/>
  <c r="H85" i="2"/>
  <c r="I85" i="2"/>
  <c r="J85" i="2"/>
  <c r="K85" i="2"/>
  <c r="L85" i="2"/>
  <c r="B87" i="2"/>
  <c r="C87" i="2"/>
  <c r="D87" i="2"/>
  <c r="E87" i="2"/>
  <c r="F87" i="2"/>
  <c r="G87" i="2"/>
  <c r="H87" i="2"/>
  <c r="I87" i="2"/>
  <c r="J87" i="2"/>
  <c r="K87" i="2"/>
  <c r="L87" i="2"/>
  <c r="B88" i="2"/>
  <c r="C88" i="2"/>
  <c r="D88" i="2"/>
  <c r="E88" i="2"/>
  <c r="F88" i="2"/>
  <c r="G88" i="2"/>
  <c r="H88" i="2"/>
  <c r="I88" i="2"/>
  <c r="J88" i="2"/>
  <c r="K88" i="2"/>
  <c r="K86" i="2" s="1"/>
  <c r="L88" i="2"/>
  <c r="B89" i="2"/>
  <c r="C89" i="2"/>
  <c r="D89" i="2"/>
  <c r="E89" i="2"/>
  <c r="F89" i="2"/>
  <c r="G89" i="2"/>
  <c r="H89" i="2"/>
  <c r="I89" i="2"/>
  <c r="J89" i="2"/>
  <c r="K89" i="2"/>
  <c r="L89" i="2"/>
  <c r="B90" i="2"/>
  <c r="C90" i="2"/>
  <c r="D90" i="2"/>
  <c r="E90" i="2"/>
  <c r="F90" i="2"/>
  <c r="G90" i="2"/>
  <c r="H90" i="2"/>
  <c r="I90" i="2"/>
  <c r="J90" i="2"/>
  <c r="K90" i="2"/>
  <c r="L90" i="2"/>
  <c r="B91" i="2"/>
  <c r="C91" i="2"/>
  <c r="D91" i="2"/>
  <c r="E91" i="2"/>
  <c r="F91" i="2"/>
  <c r="G91" i="2"/>
  <c r="H91" i="2"/>
  <c r="I91" i="2"/>
  <c r="J91" i="2"/>
  <c r="K91" i="2"/>
  <c r="L91" i="2"/>
  <c r="B93" i="2"/>
  <c r="C93" i="2"/>
  <c r="D93" i="2"/>
  <c r="E93" i="2"/>
  <c r="F93" i="2"/>
  <c r="G93" i="2"/>
  <c r="H93" i="2"/>
  <c r="I93" i="2"/>
  <c r="J93" i="2"/>
  <c r="K93" i="2"/>
  <c r="L93" i="2"/>
  <c r="B94" i="2"/>
  <c r="C94" i="2"/>
  <c r="D94" i="2"/>
  <c r="E94" i="2"/>
  <c r="F94" i="2"/>
  <c r="G94" i="2"/>
  <c r="H94" i="2"/>
  <c r="I94" i="2"/>
  <c r="J94" i="2"/>
  <c r="K94" i="2"/>
  <c r="L94" i="2"/>
  <c r="B95" i="2"/>
  <c r="C95" i="2"/>
  <c r="D95" i="2"/>
  <c r="E95" i="2"/>
  <c r="F95" i="2"/>
  <c r="G95" i="2"/>
  <c r="H95" i="2"/>
  <c r="I95" i="2"/>
  <c r="J95" i="2"/>
  <c r="K95" i="2"/>
  <c r="L95" i="2"/>
  <c r="B96" i="2"/>
  <c r="C96" i="2"/>
  <c r="D96" i="2"/>
  <c r="E96" i="2"/>
  <c r="F96" i="2"/>
  <c r="G96" i="2"/>
  <c r="H96" i="2"/>
  <c r="I96" i="2"/>
  <c r="J96" i="2"/>
  <c r="K96" i="2"/>
  <c r="L96" i="2"/>
  <c r="B97" i="2"/>
  <c r="C97" i="2"/>
  <c r="D97" i="2"/>
  <c r="E97" i="2"/>
  <c r="F97" i="2"/>
  <c r="G97" i="2"/>
  <c r="H97" i="2"/>
  <c r="I97" i="2"/>
  <c r="J97" i="2"/>
  <c r="K97" i="2"/>
  <c r="L97" i="2"/>
  <c r="B98" i="2"/>
  <c r="C98" i="2"/>
  <c r="D98" i="2"/>
  <c r="E98" i="2"/>
  <c r="F98" i="2"/>
  <c r="G98" i="2"/>
  <c r="H98" i="2"/>
  <c r="I98" i="2"/>
  <c r="J98" i="2"/>
  <c r="K98" i="2"/>
  <c r="L98" i="2"/>
  <c r="B99" i="2"/>
  <c r="C99" i="2"/>
  <c r="D99" i="2"/>
  <c r="E99" i="2"/>
  <c r="F99" i="2"/>
  <c r="G99" i="2"/>
  <c r="H99" i="2"/>
  <c r="I99" i="2"/>
  <c r="J99" i="2"/>
  <c r="K99" i="2"/>
  <c r="L99" i="2"/>
  <c r="B100" i="2"/>
  <c r="C100" i="2"/>
  <c r="D100" i="2"/>
  <c r="E100" i="2"/>
  <c r="F100" i="2"/>
  <c r="G100" i="2"/>
  <c r="H100" i="2"/>
  <c r="I100" i="2"/>
  <c r="J100" i="2"/>
  <c r="K100" i="2"/>
  <c r="L100" i="2"/>
  <c r="B101" i="2"/>
  <c r="C101" i="2"/>
  <c r="D101" i="2"/>
  <c r="E101" i="2"/>
  <c r="F101" i="2"/>
  <c r="G101" i="2"/>
  <c r="H101" i="2"/>
  <c r="I101" i="2"/>
  <c r="J101" i="2"/>
  <c r="K101" i="2"/>
  <c r="L101" i="2"/>
  <c r="B103" i="2"/>
  <c r="C103" i="2"/>
  <c r="D103" i="2"/>
  <c r="E103" i="2"/>
  <c r="F103" i="2"/>
  <c r="G103" i="2"/>
  <c r="H103" i="2"/>
  <c r="I103" i="2"/>
  <c r="J103" i="2"/>
  <c r="K103" i="2"/>
  <c r="L103" i="2"/>
  <c r="B104" i="2"/>
  <c r="C104" i="2"/>
  <c r="D104" i="2"/>
  <c r="E104" i="2"/>
  <c r="F104" i="2"/>
  <c r="G104" i="2"/>
  <c r="H104" i="2"/>
  <c r="I104" i="2"/>
  <c r="J104" i="2"/>
  <c r="K104" i="2"/>
  <c r="L104" i="2"/>
  <c r="B105" i="2"/>
  <c r="C105" i="2"/>
  <c r="D105" i="2"/>
  <c r="E105" i="2"/>
  <c r="F105" i="2"/>
  <c r="G105" i="2"/>
  <c r="H105" i="2"/>
  <c r="I105" i="2"/>
  <c r="J105" i="2"/>
  <c r="K105" i="2"/>
  <c r="L105" i="2"/>
  <c r="B106" i="2"/>
  <c r="C106" i="2"/>
  <c r="D106" i="2"/>
  <c r="E106" i="2"/>
  <c r="F106" i="2"/>
  <c r="G106" i="2"/>
  <c r="H106" i="2"/>
  <c r="I106" i="2"/>
  <c r="J106" i="2"/>
  <c r="K106" i="2"/>
  <c r="L106" i="2"/>
  <c r="B107" i="2"/>
  <c r="C107" i="2"/>
  <c r="D107" i="2"/>
  <c r="E107" i="2"/>
  <c r="F107" i="2"/>
  <c r="G107" i="2"/>
  <c r="H107" i="2"/>
  <c r="I107" i="2"/>
  <c r="J107" i="2"/>
  <c r="K107" i="2"/>
  <c r="L107" i="2"/>
  <c r="B108" i="2"/>
  <c r="C108" i="2"/>
  <c r="D108" i="2"/>
  <c r="E108" i="2"/>
  <c r="F108" i="2"/>
  <c r="G108" i="2"/>
  <c r="H108" i="2"/>
  <c r="I108" i="2"/>
  <c r="J108" i="2"/>
  <c r="K108" i="2"/>
  <c r="L108" i="2"/>
  <c r="B111" i="2"/>
  <c r="C111" i="2"/>
  <c r="D111" i="2"/>
  <c r="E111" i="2"/>
  <c r="F111" i="2"/>
  <c r="G111" i="2"/>
  <c r="H111" i="2"/>
  <c r="I111" i="2"/>
  <c r="J111" i="2"/>
  <c r="K111" i="2"/>
  <c r="L111" i="2"/>
  <c r="B112" i="2"/>
  <c r="C112" i="2"/>
  <c r="D112" i="2"/>
  <c r="E112" i="2"/>
  <c r="F112" i="2"/>
  <c r="G112" i="2"/>
  <c r="H112" i="2"/>
  <c r="I112" i="2"/>
  <c r="J112" i="2"/>
  <c r="K112" i="2"/>
  <c r="L112" i="2"/>
  <c r="B113" i="2"/>
  <c r="C113" i="2"/>
  <c r="D113" i="2"/>
  <c r="E113" i="2"/>
  <c r="F113" i="2"/>
  <c r="G113" i="2"/>
  <c r="H113" i="2"/>
  <c r="I113" i="2"/>
  <c r="J113" i="2"/>
  <c r="K113" i="2"/>
  <c r="L113" i="2"/>
  <c r="B114" i="2"/>
  <c r="C114" i="2"/>
  <c r="D114" i="2"/>
  <c r="E114" i="2"/>
  <c r="F114" i="2"/>
  <c r="G114" i="2"/>
  <c r="H114" i="2"/>
  <c r="I114" i="2"/>
  <c r="J114" i="2"/>
  <c r="K114" i="2"/>
  <c r="L114" i="2"/>
  <c r="B115" i="2"/>
  <c r="C115" i="2"/>
  <c r="D115" i="2"/>
  <c r="E115" i="2"/>
  <c r="F115" i="2"/>
  <c r="G115" i="2"/>
  <c r="H115" i="2"/>
  <c r="I115" i="2"/>
  <c r="J115" i="2"/>
  <c r="K115" i="2"/>
  <c r="L115" i="2"/>
  <c r="B117" i="2"/>
  <c r="C117" i="2"/>
  <c r="D117" i="2"/>
  <c r="E117" i="2"/>
  <c r="F117" i="2"/>
  <c r="G117" i="2"/>
  <c r="H117" i="2"/>
  <c r="I117" i="2"/>
  <c r="J117" i="2"/>
  <c r="K117" i="2"/>
  <c r="L117" i="2"/>
  <c r="B118" i="2"/>
  <c r="C118" i="2"/>
  <c r="D118" i="2"/>
  <c r="E118" i="2"/>
  <c r="F118" i="2"/>
  <c r="G118" i="2"/>
  <c r="H118" i="2"/>
  <c r="I118" i="2"/>
  <c r="J118" i="2"/>
  <c r="K118" i="2"/>
  <c r="L118" i="2"/>
  <c r="B119" i="2"/>
  <c r="C119" i="2"/>
  <c r="D119" i="2"/>
  <c r="E119" i="2"/>
  <c r="F119" i="2"/>
  <c r="G119" i="2"/>
  <c r="H119" i="2"/>
  <c r="I119" i="2"/>
  <c r="J119" i="2"/>
  <c r="K119" i="2"/>
  <c r="L119" i="2"/>
  <c r="B120" i="2"/>
  <c r="C120" i="2"/>
  <c r="D120" i="2"/>
  <c r="E120" i="2"/>
  <c r="F120" i="2"/>
  <c r="G120" i="2"/>
  <c r="H120" i="2"/>
  <c r="I120" i="2"/>
  <c r="J120" i="2"/>
  <c r="K120" i="2"/>
  <c r="L120" i="2"/>
  <c r="B121" i="2"/>
  <c r="C121" i="2"/>
  <c r="D121" i="2"/>
  <c r="E121" i="2"/>
  <c r="F121" i="2"/>
  <c r="G121" i="2"/>
  <c r="H121" i="2"/>
  <c r="I121" i="2"/>
  <c r="J121" i="2"/>
  <c r="K121" i="2"/>
  <c r="L121" i="2"/>
  <c r="B123" i="2"/>
  <c r="C123" i="2"/>
  <c r="D123" i="2"/>
  <c r="E123" i="2"/>
  <c r="F123" i="2"/>
  <c r="G123" i="2"/>
  <c r="H123" i="2"/>
  <c r="I123" i="2"/>
  <c r="J123" i="2"/>
  <c r="K123" i="2"/>
  <c r="L123" i="2"/>
  <c r="B124" i="2"/>
  <c r="C124" i="2"/>
  <c r="D124" i="2"/>
  <c r="E124" i="2"/>
  <c r="F124" i="2"/>
  <c r="G124" i="2"/>
  <c r="H124" i="2"/>
  <c r="I124" i="2"/>
  <c r="J124" i="2"/>
  <c r="K124" i="2"/>
  <c r="L124" i="2"/>
  <c r="B125" i="2"/>
  <c r="C125" i="2"/>
  <c r="D125" i="2"/>
  <c r="E125" i="2"/>
  <c r="F125" i="2"/>
  <c r="G125" i="2"/>
  <c r="H125" i="2"/>
  <c r="I125" i="2"/>
  <c r="J125" i="2"/>
  <c r="K125" i="2"/>
  <c r="L125" i="2"/>
  <c r="B126" i="2"/>
  <c r="C126" i="2"/>
  <c r="D126" i="2"/>
  <c r="E126" i="2"/>
  <c r="F126" i="2"/>
  <c r="G126" i="2"/>
  <c r="H126" i="2"/>
  <c r="I126" i="2"/>
  <c r="J126" i="2"/>
  <c r="K126" i="2"/>
  <c r="L126" i="2"/>
  <c r="B127" i="2"/>
  <c r="C127" i="2"/>
  <c r="D127" i="2"/>
  <c r="E127" i="2"/>
  <c r="F127" i="2"/>
  <c r="G127" i="2"/>
  <c r="H127" i="2"/>
  <c r="I127" i="2"/>
  <c r="J127" i="2"/>
  <c r="K127" i="2"/>
  <c r="L127" i="2"/>
  <c r="B129" i="2"/>
  <c r="C129" i="2"/>
  <c r="D129" i="2"/>
  <c r="E129" i="2"/>
  <c r="F129" i="2"/>
  <c r="G129" i="2"/>
  <c r="H129" i="2"/>
  <c r="I129" i="2"/>
  <c r="J129" i="2"/>
  <c r="K129" i="2"/>
  <c r="L129" i="2"/>
  <c r="B130" i="2"/>
  <c r="C130" i="2"/>
  <c r="D130" i="2"/>
  <c r="E130" i="2"/>
  <c r="F130" i="2"/>
  <c r="G130" i="2"/>
  <c r="H130" i="2"/>
  <c r="I130" i="2"/>
  <c r="J130" i="2"/>
  <c r="K130" i="2"/>
  <c r="L130" i="2"/>
  <c r="B131" i="2"/>
  <c r="C131" i="2"/>
  <c r="D131" i="2"/>
  <c r="E131" i="2"/>
  <c r="F131" i="2"/>
  <c r="G131" i="2"/>
  <c r="H131" i="2"/>
  <c r="I131" i="2"/>
  <c r="J131" i="2"/>
  <c r="K131" i="2"/>
  <c r="L131" i="2"/>
  <c r="B132" i="2"/>
  <c r="C132" i="2"/>
  <c r="D132" i="2"/>
  <c r="E132" i="2"/>
  <c r="F132" i="2"/>
  <c r="G132" i="2"/>
  <c r="H132" i="2"/>
  <c r="I132" i="2"/>
  <c r="J132" i="2"/>
  <c r="K132" i="2"/>
  <c r="L132" i="2"/>
  <c r="B133" i="2"/>
  <c r="C133" i="2"/>
  <c r="D133" i="2"/>
  <c r="E133" i="2"/>
  <c r="F133" i="2"/>
  <c r="G133" i="2"/>
  <c r="H133" i="2"/>
  <c r="I133" i="2"/>
  <c r="J133" i="2"/>
  <c r="K133" i="2"/>
  <c r="L133" i="2"/>
  <c r="B134" i="2"/>
  <c r="C134" i="2"/>
  <c r="D134" i="2"/>
  <c r="E134" i="2"/>
  <c r="F134" i="2"/>
  <c r="G134" i="2"/>
  <c r="H134" i="2"/>
  <c r="I134" i="2"/>
  <c r="J134" i="2"/>
  <c r="K134" i="2"/>
  <c r="L134" i="2"/>
  <c r="B135" i="2"/>
  <c r="C135" i="2"/>
  <c r="D135" i="2"/>
  <c r="E135" i="2"/>
  <c r="F135" i="2"/>
  <c r="G135" i="2"/>
  <c r="H135" i="2"/>
  <c r="I135" i="2"/>
  <c r="J135" i="2"/>
  <c r="K135" i="2"/>
  <c r="L135" i="2"/>
  <c r="B136" i="2"/>
  <c r="C136" i="2"/>
  <c r="D136" i="2"/>
  <c r="E136" i="2"/>
  <c r="F136" i="2"/>
  <c r="G136" i="2"/>
  <c r="H136" i="2"/>
  <c r="I136" i="2"/>
  <c r="J136" i="2"/>
  <c r="K136" i="2"/>
  <c r="L136" i="2"/>
  <c r="B137" i="2"/>
  <c r="C137" i="2"/>
  <c r="D137" i="2"/>
  <c r="E137" i="2"/>
  <c r="F137" i="2"/>
  <c r="G137" i="2"/>
  <c r="H137" i="2"/>
  <c r="I137" i="2"/>
  <c r="J137" i="2"/>
  <c r="K137" i="2"/>
  <c r="L137" i="2"/>
  <c r="B138" i="2"/>
  <c r="C138" i="2"/>
  <c r="D138" i="2"/>
  <c r="E138" i="2"/>
  <c r="F138" i="2"/>
  <c r="G138" i="2"/>
  <c r="H138" i="2"/>
  <c r="I138" i="2"/>
  <c r="J138" i="2"/>
  <c r="K138" i="2"/>
  <c r="L138" i="2"/>
  <c r="B139" i="2"/>
  <c r="C139" i="2"/>
  <c r="D139" i="2"/>
  <c r="E139" i="2"/>
  <c r="F139" i="2"/>
  <c r="G139" i="2"/>
  <c r="H139" i="2"/>
  <c r="I139" i="2"/>
  <c r="J139" i="2"/>
  <c r="K139" i="2"/>
  <c r="L139" i="2"/>
  <c r="B140" i="2"/>
  <c r="C140" i="2"/>
  <c r="D140" i="2"/>
  <c r="E140" i="2"/>
  <c r="F140" i="2"/>
  <c r="G140" i="2"/>
  <c r="H140" i="2"/>
  <c r="I140" i="2"/>
  <c r="J140" i="2"/>
  <c r="K140" i="2"/>
  <c r="L140" i="2"/>
  <c r="B141" i="2"/>
  <c r="C141" i="2"/>
  <c r="D141" i="2"/>
  <c r="E141" i="2"/>
  <c r="F141" i="2"/>
  <c r="G141" i="2"/>
  <c r="H141" i="2"/>
  <c r="I141" i="2"/>
  <c r="J141" i="2"/>
  <c r="K141" i="2"/>
  <c r="L141" i="2"/>
  <c r="B143" i="2"/>
  <c r="C143" i="2"/>
  <c r="D143" i="2"/>
  <c r="E143" i="2"/>
  <c r="F143" i="2"/>
  <c r="G143" i="2"/>
  <c r="H143" i="2"/>
  <c r="I143" i="2"/>
  <c r="J143" i="2"/>
  <c r="K143" i="2"/>
  <c r="L143" i="2"/>
  <c r="B145" i="2"/>
  <c r="C145" i="2"/>
  <c r="D145" i="2"/>
  <c r="E145" i="2"/>
  <c r="F145" i="2"/>
  <c r="G145" i="2"/>
  <c r="H145" i="2"/>
  <c r="I145" i="2"/>
  <c r="J145" i="2"/>
  <c r="K145" i="2"/>
  <c r="L145" i="2"/>
  <c r="B146" i="2"/>
  <c r="C146" i="2"/>
  <c r="D146" i="2"/>
  <c r="E146" i="2"/>
  <c r="F146" i="2"/>
  <c r="G146" i="2"/>
  <c r="H146" i="2"/>
  <c r="I146" i="2"/>
  <c r="J146" i="2"/>
  <c r="K146" i="2"/>
  <c r="L146" i="2"/>
  <c r="B147" i="2"/>
  <c r="C147" i="2"/>
  <c r="D147" i="2"/>
  <c r="E147" i="2"/>
  <c r="F147" i="2"/>
  <c r="G147" i="2"/>
  <c r="H147" i="2"/>
  <c r="I147" i="2"/>
  <c r="J147" i="2"/>
  <c r="K147" i="2"/>
  <c r="L147" i="2"/>
  <c r="B148" i="2"/>
  <c r="C148" i="2"/>
  <c r="D148" i="2"/>
  <c r="E148" i="2"/>
  <c r="F148" i="2"/>
  <c r="G148" i="2"/>
  <c r="H148" i="2"/>
  <c r="I148" i="2"/>
  <c r="J148" i="2"/>
  <c r="K148" i="2"/>
  <c r="L148" i="2"/>
  <c r="B149" i="2"/>
  <c r="C149" i="2"/>
  <c r="D149" i="2"/>
  <c r="E149" i="2"/>
  <c r="F149" i="2"/>
  <c r="G149" i="2"/>
  <c r="H149" i="2"/>
  <c r="I149" i="2"/>
  <c r="J149" i="2"/>
  <c r="K149" i="2"/>
  <c r="L149" i="2"/>
  <c r="B150" i="2"/>
  <c r="C150" i="2"/>
  <c r="D150" i="2"/>
  <c r="E150" i="2"/>
  <c r="F150" i="2"/>
  <c r="G150" i="2"/>
  <c r="H150" i="2"/>
  <c r="I150" i="2"/>
  <c r="J150" i="2"/>
  <c r="K150" i="2"/>
  <c r="L150" i="2"/>
  <c r="B151" i="2"/>
  <c r="C151" i="2"/>
  <c r="D151" i="2"/>
  <c r="E151" i="2"/>
  <c r="F151" i="2"/>
  <c r="G151" i="2"/>
  <c r="H151" i="2"/>
  <c r="I151" i="2"/>
  <c r="J151" i="2"/>
  <c r="K151" i="2"/>
  <c r="L151" i="2"/>
  <c r="B152" i="2"/>
  <c r="C152" i="2"/>
  <c r="D152" i="2"/>
  <c r="E152" i="2"/>
  <c r="F152" i="2"/>
  <c r="G152" i="2"/>
  <c r="H152" i="2"/>
  <c r="I152" i="2"/>
  <c r="J152" i="2"/>
  <c r="K152" i="2"/>
  <c r="L152" i="2"/>
  <c r="B153" i="2"/>
  <c r="C153" i="2"/>
  <c r="D153" i="2"/>
  <c r="E153" i="2"/>
  <c r="F153" i="2"/>
  <c r="G153" i="2"/>
  <c r="H153" i="2"/>
  <c r="I153" i="2"/>
  <c r="J153" i="2"/>
  <c r="K153" i="2"/>
  <c r="L153" i="2"/>
  <c r="B154" i="2"/>
  <c r="C154" i="2"/>
  <c r="D154" i="2"/>
  <c r="E154" i="2"/>
  <c r="F154" i="2"/>
  <c r="G154" i="2"/>
  <c r="H154" i="2"/>
  <c r="I154" i="2"/>
  <c r="J154" i="2"/>
  <c r="K154" i="2"/>
  <c r="L154" i="2"/>
  <c r="B155" i="2"/>
  <c r="C155" i="2"/>
  <c r="D155" i="2"/>
  <c r="E155" i="2"/>
  <c r="F155" i="2"/>
  <c r="G155" i="2"/>
  <c r="H155" i="2"/>
  <c r="I155" i="2"/>
  <c r="J155" i="2"/>
  <c r="K155" i="2"/>
  <c r="L155" i="2"/>
  <c r="B156" i="2"/>
  <c r="C156" i="2"/>
  <c r="D156" i="2"/>
  <c r="E156" i="2"/>
  <c r="F156" i="2"/>
  <c r="G156" i="2"/>
  <c r="H156" i="2"/>
  <c r="I156" i="2"/>
  <c r="J156" i="2"/>
  <c r="K156" i="2"/>
  <c r="L156" i="2"/>
  <c r="B157" i="2"/>
  <c r="C157" i="2"/>
  <c r="D157" i="2"/>
  <c r="E157" i="2"/>
  <c r="F157" i="2"/>
  <c r="G157" i="2"/>
  <c r="H157" i="2"/>
  <c r="I157" i="2"/>
  <c r="J157" i="2"/>
  <c r="K157" i="2"/>
  <c r="L157" i="2"/>
  <c r="B158" i="2"/>
  <c r="C158" i="2"/>
  <c r="D158" i="2"/>
  <c r="E158" i="2"/>
  <c r="F158" i="2"/>
  <c r="G158" i="2"/>
  <c r="H158" i="2"/>
  <c r="I158" i="2"/>
  <c r="J158" i="2"/>
  <c r="K158" i="2"/>
  <c r="L158" i="2"/>
  <c r="B159" i="2"/>
  <c r="C159" i="2"/>
  <c r="D159" i="2"/>
  <c r="E159" i="2"/>
  <c r="F159" i="2"/>
  <c r="G159" i="2"/>
  <c r="H159" i="2"/>
  <c r="I159" i="2"/>
  <c r="J159" i="2"/>
  <c r="K159" i="2"/>
  <c r="L159" i="2"/>
  <c r="B160" i="2"/>
  <c r="C160" i="2"/>
  <c r="D160" i="2"/>
  <c r="E160" i="2"/>
  <c r="F160" i="2"/>
  <c r="G160" i="2"/>
  <c r="H160" i="2"/>
  <c r="I160" i="2"/>
  <c r="J160" i="2"/>
  <c r="K160" i="2"/>
  <c r="L160" i="2"/>
  <c r="B161" i="2"/>
  <c r="C161" i="2"/>
  <c r="D161" i="2"/>
  <c r="E161" i="2"/>
  <c r="F161" i="2"/>
  <c r="G161" i="2"/>
  <c r="H161" i="2"/>
  <c r="I161" i="2"/>
  <c r="J161" i="2"/>
  <c r="K161" i="2"/>
  <c r="L161" i="2"/>
  <c r="B162" i="2"/>
  <c r="C162" i="2"/>
  <c r="D162" i="2"/>
  <c r="E162" i="2"/>
  <c r="F162" i="2"/>
  <c r="G162" i="2"/>
  <c r="H162" i="2"/>
  <c r="I162" i="2"/>
  <c r="J162" i="2"/>
  <c r="K162" i="2"/>
  <c r="L162" i="2"/>
  <c r="B163" i="2"/>
  <c r="C163" i="2"/>
  <c r="D163" i="2"/>
  <c r="E163" i="2"/>
  <c r="F163" i="2"/>
  <c r="G163" i="2"/>
  <c r="H163" i="2"/>
  <c r="I163" i="2"/>
  <c r="J163" i="2"/>
  <c r="K163" i="2"/>
  <c r="L163" i="2"/>
  <c r="B164" i="2"/>
  <c r="C164" i="2"/>
  <c r="D164" i="2"/>
  <c r="E164" i="2"/>
  <c r="F164" i="2"/>
  <c r="G164" i="2"/>
  <c r="H164" i="2"/>
  <c r="I164" i="2"/>
  <c r="J164" i="2"/>
  <c r="K164" i="2"/>
  <c r="L164" i="2"/>
  <c r="B165" i="2"/>
  <c r="C165" i="2"/>
  <c r="D165" i="2"/>
  <c r="E165" i="2"/>
  <c r="F165" i="2"/>
  <c r="G165" i="2"/>
  <c r="H165" i="2"/>
  <c r="I165" i="2"/>
  <c r="J165" i="2"/>
  <c r="K165" i="2"/>
  <c r="L165" i="2"/>
  <c r="B166" i="2"/>
  <c r="C166" i="2"/>
  <c r="D166" i="2"/>
  <c r="E166" i="2"/>
  <c r="F166" i="2"/>
  <c r="G166" i="2"/>
  <c r="H166" i="2"/>
  <c r="I166" i="2"/>
  <c r="J166" i="2"/>
  <c r="K166" i="2"/>
  <c r="L166" i="2"/>
  <c r="B167" i="2"/>
  <c r="C167" i="2"/>
  <c r="D167" i="2"/>
  <c r="E167" i="2"/>
  <c r="F167" i="2"/>
  <c r="G167" i="2"/>
  <c r="H167" i="2"/>
  <c r="I167" i="2"/>
  <c r="J167" i="2"/>
  <c r="K167" i="2"/>
  <c r="L167" i="2"/>
  <c r="B168" i="2"/>
  <c r="C168" i="2"/>
  <c r="D168" i="2"/>
  <c r="E168" i="2"/>
  <c r="F168" i="2"/>
  <c r="G168" i="2"/>
  <c r="H168" i="2"/>
  <c r="I168" i="2"/>
  <c r="J168" i="2"/>
  <c r="K168" i="2"/>
  <c r="L168" i="2"/>
  <c r="B169" i="2"/>
  <c r="C169" i="2"/>
  <c r="D169" i="2"/>
  <c r="E169" i="2"/>
  <c r="F169" i="2"/>
  <c r="G169" i="2"/>
  <c r="H169" i="2"/>
  <c r="I169" i="2"/>
  <c r="J169" i="2"/>
  <c r="K169" i="2"/>
  <c r="L169" i="2"/>
  <c r="B170" i="2"/>
  <c r="C170" i="2"/>
  <c r="D170" i="2"/>
  <c r="E170" i="2"/>
  <c r="F170" i="2"/>
  <c r="G170" i="2"/>
  <c r="H170" i="2"/>
  <c r="I170" i="2"/>
  <c r="J170" i="2"/>
  <c r="K170" i="2"/>
  <c r="L170" i="2"/>
  <c r="B171" i="2"/>
  <c r="C171" i="2"/>
  <c r="D171" i="2"/>
  <c r="E171" i="2"/>
  <c r="F171" i="2"/>
  <c r="G171" i="2"/>
  <c r="H171" i="2"/>
  <c r="I171" i="2"/>
  <c r="J171" i="2"/>
  <c r="K171" i="2"/>
  <c r="L171" i="2"/>
  <c r="B172" i="2"/>
  <c r="C172" i="2"/>
  <c r="D172" i="2"/>
  <c r="E172" i="2"/>
  <c r="F172" i="2"/>
  <c r="G172" i="2"/>
  <c r="H172" i="2"/>
  <c r="I172" i="2"/>
  <c r="J172" i="2"/>
  <c r="K172" i="2"/>
  <c r="L172" i="2"/>
  <c r="B173" i="2"/>
  <c r="C173" i="2"/>
  <c r="D173" i="2"/>
  <c r="E173" i="2"/>
  <c r="F173" i="2"/>
  <c r="G173" i="2"/>
  <c r="H173" i="2"/>
  <c r="I173" i="2"/>
  <c r="J173" i="2"/>
  <c r="K173" i="2"/>
  <c r="L173" i="2"/>
  <c r="B174" i="2"/>
  <c r="C174" i="2"/>
  <c r="D174" i="2"/>
  <c r="E174" i="2"/>
  <c r="F174" i="2"/>
  <c r="G174" i="2"/>
  <c r="H174" i="2"/>
  <c r="I174" i="2"/>
  <c r="J174" i="2"/>
  <c r="K174" i="2"/>
  <c r="L174" i="2"/>
  <c r="B176" i="2"/>
  <c r="C176" i="2"/>
  <c r="D176" i="2"/>
  <c r="E176" i="2"/>
  <c r="F176" i="2"/>
  <c r="G176" i="2"/>
  <c r="H176" i="2"/>
  <c r="I176" i="2"/>
  <c r="J176" i="2"/>
  <c r="K176" i="2"/>
  <c r="L176" i="2"/>
  <c r="B177" i="2"/>
  <c r="C177" i="2"/>
  <c r="D177" i="2"/>
  <c r="E177" i="2"/>
  <c r="F177" i="2"/>
  <c r="G177" i="2"/>
  <c r="H177" i="2"/>
  <c r="I177" i="2"/>
  <c r="J177" i="2"/>
  <c r="K177" i="2"/>
  <c r="L177" i="2"/>
  <c r="B182" i="2"/>
  <c r="C182" i="2"/>
  <c r="D182" i="2"/>
  <c r="E182" i="2"/>
  <c r="F182" i="2"/>
  <c r="G182" i="2"/>
  <c r="H182" i="2"/>
  <c r="I182" i="2"/>
  <c r="J182" i="2"/>
  <c r="K182" i="2"/>
  <c r="L182" i="2"/>
  <c r="B183" i="2"/>
  <c r="C183" i="2"/>
  <c r="D183" i="2"/>
  <c r="E183" i="2"/>
  <c r="F183" i="2"/>
  <c r="G183" i="2"/>
  <c r="H183" i="2"/>
  <c r="I183" i="2"/>
  <c r="J183" i="2"/>
  <c r="K183" i="2"/>
  <c r="L183" i="2"/>
  <c r="B184" i="2"/>
  <c r="C184" i="2"/>
  <c r="D184" i="2"/>
  <c r="E184" i="2"/>
  <c r="F184" i="2"/>
  <c r="G184" i="2"/>
  <c r="H184" i="2"/>
  <c r="I184" i="2"/>
  <c r="J184" i="2"/>
  <c r="K184" i="2"/>
  <c r="L184" i="2"/>
  <c r="B186" i="2"/>
  <c r="C186" i="2"/>
  <c r="D186" i="2"/>
  <c r="E186" i="2"/>
  <c r="F186" i="2"/>
  <c r="G186" i="2"/>
  <c r="H186" i="2"/>
  <c r="I186" i="2"/>
  <c r="J186" i="2"/>
  <c r="K186" i="2"/>
  <c r="L186" i="2"/>
  <c r="B187" i="2"/>
  <c r="C187" i="2"/>
  <c r="D187" i="2"/>
  <c r="E187" i="2"/>
  <c r="F187" i="2"/>
  <c r="G187" i="2"/>
  <c r="H187" i="2"/>
  <c r="I187" i="2"/>
  <c r="J187" i="2"/>
  <c r="K187" i="2"/>
  <c r="L187" i="2"/>
  <c r="B188" i="2"/>
  <c r="C188" i="2"/>
  <c r="D188" i="2"/>
  <c r="E188" i="2"/>
  <c r="F188" i="2"/>
  <c r="G188" i="2"/>
  <c r="H188" i="2"/>
  <c r="I188" i="2"/>
  <c r="J188" i="2"/>
  <c r="K188" i="2"/>
  <c r="L188" i="2"/>
  <c r="B189" i="2"/>
  <c r="C189" i="2"/>
  <c r="D189" i="2"/>
  <c r="E189" i="2"/>
  <c r="F189" i="2"/>
  <c r="G189" i="2"/>
  <c r="H189" i="2"/>
  <c r="I189" i="2"/>
  <c r="J189" i="2"/>
  <c r="K189" i="2"/>
  <c r="L189" i="2"/>
  <c r="B190" i="2"/>
  <c r="C190" i="2"/>
  <c r="D190" i="2"/>
  <c r="E190" i="2"/>
  <c r="F190" i="2"/>
  <c r="G190" i="2"/>
  <c r="H190" i="2"/>
  <c r="I190" i="2"/>
  <c r="J190" i="2"/>
  <c r="K190" i="2"/>
  <c r="L190" i="2"/>
  <c r="B192" i="2"/>
  <c r="C192" i="2"/>
  <c r="D192" i="2"/>
  <c r="E192" i="2"/>
  <c r="F192" i="2"/>
  <c r="G192" i="2"/>
  <c r="H192" i="2"/>
  <c r="I192" i="2"/>
  <c r="J192" i="2"/>
  <c r="K192" i="2"/>
  <c r="L192" i="2"/>
  <c r="B193" i="2"/>
  <c r="C193" i="2"/>
  <c r="D193" i="2"/>
  <c r="E193" i="2"/>
  <c r="F193" i="2"/>
  <c r="G193" i="2"/>
  <c r="H193" i="2"/>
  <c r="I193" i="2"/>
  <c r="J193" i="2"/>
  <c r="K193" i="2"/>
  <c r="L193" i="2"/>
  <c r="B194" i="2"/>
  <c r="C194" i="2"/>
  <c r="D194" i="2"/>
  <c r="E194" i="2"/>
  <c r="F194" i="2"/>
  <c r="G194" i="2"/>
  <c r="H194" i="2"/>
  <c r="I194" i="2"/>
  <c r="J194" i="2"/>
  <c r="K194" i="2"/>
  <c r="L194" i="2"/>
  <c r="B195" i="2"/>
  <c r="C195" i="2"/>
  <c r="D195" i="2"/>
  <c r="E195" i="2"/>
  <c r="F195" i="2"/>
  <c r="G195" i="2"/>
  <c r="H195" i="2"/>
  <c r="I195" i="2"/>
  <c r="J195" i="2"/>
  <c r="K195" i="2"/>
  <c r="L195" i="2"/>
  <c r="B196" i="2"/>
  <c r="C196" i="2"/>
  <c r="D196" i="2"/>
  <c r="E196" i="2"/>
  <c r="F196" i="2"/>
  <c r="G196" i="2"/>
  <c r="H196" i="2"/>
  <c r="I196" i="2"/>
  <c r="J196" i="2"/>
  <c r="K196" i="2"/>
  <c r="L196" i="2"/>
  <c r="B199" i="2"/>
  <c r="C199" i="2"/>
  <c r="D199" i="2"/>
  <c r="E199" i="2"/>
  <c r="F199" i="2"/>
  <c r="G199" i="2"/>
  <c r="H199" i="2"/>
  <c r="I199" i="2"/>
  <c r="J199" i="2"/>
  <c r="K199" i="2"/>
  <c r="L199" i="2"/>
  <c r="B200" i="2"/>
  <c r="C200" i="2"/>
  <c r="D200" i="2"/>
  <c r="E200" i="2"/>
  <c r="F200" i="2"/>
  <c r="G200" i="2"/>
  <c r="H200" i="2"/>
  <c r="I200" i="2"/>
  <c r="J200" i="2"/>
  <c r="K200" i="2"/>
  <c r="L200" i="2"/>
  <c r="B201" i="2"/>
  <c r="C201" i="2"/>
  <c r="D201" i="2"/>
  <c r="E201" i="2"/>
  <c r="F201" i="2"/>
  <c r="G201" i="2"/>
  <c r="H201" i="2"/>
  <c r="I201" i="2"/>
  <c r="J201" i="2"/>
  <c r="K201" i="2"/>
  <c r="L201" i="2"/>
  <c r="B205" i="2"/>
  <c r="C205" i="2"/>
  <c r="D205" i="2"/>
  <c r="E205" i="2"/>
  <c r="F205" i="2"/>
  <c r="G205" i="2"/>
  <c r="H205" i="2"/>
  <c r="I205" i="2"/>
  <c r="J205" i="2"/>
  <c r="K205" i="2"/>
  <c r="L205" i="2"/>
  <c r="B207" i="2"/>
  <c r="B208" i="2" s="1"/>
  <c r="C207" i="2"/>
  <c r="D207" i="2"/>
  <c r="D208" i="2" s="1"/>
  <c r="E207" i="2"/>
  <c r="E208" i="2" s="1"/>
  <c r="F207" i="2"/>
  <c r="G207" i="2"/>
  <c r="G208" i="2" s="1"/>
  <c r="H207" i="2"/>
  <c r="H208" i="2" s="1"/>
  <c r="I207" i="2"/>
  <c r="I208" i="2" s="1"/>
  <c r="J207" i="2"/>
  <c r="J208" i="2" s="1"/>
  <c r="K207" i="2"/>
  <c r="K208" i="2" s="1"/>
  <c r="L207" i="2"/>
  <c r="L208" i="2" s="1"/>
  <c r="F208" i="2"/>
  <c r="B210" i="2"/>
  <c r="C210" i="2"/>
  <c r="C211" i="2" s="1"/>
  <c r="D210" i="2"/>
  <c r="D211" i="2" s="1"/>
  <c r="E210" i="2"/>
  <c r="F210" i="2"/>
  <c r="F211" i="2" s="1"/>
  <c r="G210" i="2"/>
  <c r="G211" i="2" s="1"/>
  <c r="H210" i="2"/>
  <c r="H211" i="2" s="1"/>
  <c r="I210" i="2"/>
  <c r="I211" i="2" s="1"/>
  <c r="J210" i="2"/>
  <c r="J211" i="2" s="1"/>
  <c r="K210" i="2"/>
  <c r="K211" i="2" s="1"/>
  <c r="L210" i="2"/>
  <c r="L211" i="2" s="1"/>
  <c r="Q210" i="2"/>
  <c r="E211" i="2"/>
  <c r="E181" i="2" l="1"/>
  <c r="G128" i="2"/>
  <c r="I4" i="2"/>
  <c r="G110" i="2"/>
  <c r="H198" i="2"/>
  <c r="G116" i="2"/>
  <c r="E175" i="2"/>
  <c r="J78" i="2"/>
  <c r="I63" i="2"/>
  <c r="G59" i="2"/>
  <c r="G67" i="2"/>
  <c r="H4" i="2"/>
  <c r="H12" i="2"/>
  <c r="G4" i="2"/>
  <c r="G181" i="2"/>
  <c r="Q118" i="2"/>
  <c r="I116" i="2"/>
  <c r="Q112" i="2"/>
  <c r="I110" i="2"/>
  <c r="Q105" i="2"/>
  <c r="Q100" i="2"/>
  <c r="G92" i="2"/>
  <c r="F86" i="2"/>
  <c r="Q145" i="2"/>
  <c r="Q138" i="2"/>
  <c r="Q130" i="2"/>
  <c r="I128" i="2"/>
  <c r="F122" i="2"/>
  <c r="I122" i="2"/>
  <c r="K92" i="2"/>
  <c r="J86" i="2"/>
  <c r="E12" i="2"/>
  <c r="Q173" i="2"/>
  <c r="Q165" i="2"/>
  <c r="J175" i="2"/>
  <c r="Q157" i="2"/>
  <c r="H175" i="2"/>
  <c r="K175" i="2"/>
  <c r="C175" i="2"/>
  <c r="Q149" i="2"/>
  <c r="K144" i="2"/>
  <c r="J92" i="2"/>
  <c r="E92" i="2"/>
  <c r="I86" i="2"/>
  <c r="G63" i="2"/>
  <c r="H24" i="2"/>
  <c r="I20" i="2"/>
  <c r="E8" i="2"/>
  <c r="L181" i="2"/>
  <c r="D181" i="2"/>
  <c r="C86" i="2"/>
  <c r="G71" i="2"/>
  <c r="J59" i="2"/>
  <c r="Q60" i="2"/>
  <c r="Q49" i="2"/>
  <c r="Q46" i="2"/>
  <c r="Q41" i="2"/>
  <c r="Q32" i="2"/>
  <c r="J16" i="2"/>
  <c r="B16" i="2"/>
  <c r="I198" i="2"/>
  <c r="G20" i="2"/>
  <c r="H8" i="2"/>
  <c r="G191" i="2"/>
  <c r="Q188" i="2"/>
  <c r="I185" i="2"/>
  <c r="J181" i="2"/>
  <c r="B181" i="2"/>
  <c r="E71" i="2"/>
  <c r="H59" i="2"/>
  <c r="E24" i="2"/>
  <c r="C82" i="2"/>
  <c r="J4" i="2"/>
  <c r="Q201" i="2"/>
  <c r="J198" i="2"/>
  <c r="B198" i="2"/>
  <c r="Q194" i="2"/>
  <c r="I191" i="2"/>
  <c r="E185" i="2"/>
  <c r="H185" i="2"/>
  <c r="Q184" i="2"/>
  <c r="I181" i="2"/>
  <c r="Q177" i="2"/>
  <c r="Q170" i="2"/>
  <c r="Q162" i="2"/>
  <c r="L175" i="2"/>
  <c r="D175" i="2"/>
  <c r="Q154" i="2"/>
  <c r="Q146" i="2"/>
  <c r="H128" i="2"/>
  <c r="E122" i="2"/>
  <c r="H122" i="2"/>
  <c r="Q101" i="2"/>
  <c r="C92" i="2"/>
  <c r="F92" i="2"/>
  <c r="Q88" i="2"/>
  <c r="E86" i="2"/>
  <c r="H82" i="2"/>
  <c r="L71" i="2"/>
  <c r="D71" i="2"/>
  <c r="Q66" i="2"/>
  <c r="H63" i="2"/>
  <c r="Q61" i="2"/>
  <c r="I59" i="2"/>
  <c r="Q54" i="2"/>
  <c r="F40" i="2"/>
  <c r="I40" i="2"/>
  <c r="Q37" i="2"/>
  <c r="Q29" i="2"/>
  <c r="Q26" i="2"/>
  <c r="F24" i="2"/>
  <c r="H16" i="2"/>
  <c r="K16" i="2"/>
  <c r="Q17" i="2"/>
  <c r="L12" i="2"/>
  <c r="D12" i="2"/>
  <c r="Q10" i="2"/>
  <c r="F8" i="2"/>
  <c r="Q7" i="2"/>
  <c r="F198" i="2"/>
  <c r="E191" i="2"/>
  <c r="H191" i="2"/>
  <c r="Q190" i="2"/>
  <c r="L185" i="2"/>
  <c r="Q187" i="2"/>
  <c r="H181" i="2"/>
  <c r="B175" i="2"/>
  <c r="Q167" i="2"/>
  <c r="Q159" i="2"/>
  <c r="I175" i="2"/>
  <c r="Q151" i="2"/>
  <c r="I144" i="2"/>
  <c r="Q140" i="2"/>
  <c r="Q132" i="2"/>
  <c r="Q120" i="2"/>
  <c r="Q114" i="2"/>
  <c r="Q107" i="2"/>
  <c r="Q89" i="2"/>
  <c r="L86" i="2"/>
  <c r="D86" i="2"/>
  <c r="G82" i="2"/>
  <c r="I78" i="2"/>
  <c r="E67" i="2"/>
  <c r="Q62" i="2"/>
  <c r="Q51" i="2"/>
  <c r="Q48" i="2"/>
  <c r="Q43" i="2"/>
  <c r="H40" i="2"/>
  <c r="Q34" i="2"/>
  <c r="Q18" i="2"/>
  <c r="K12" i="2"/>
  <c r="Q196" i="2"/>
  <c r="L191" i="2"/>
  <c r="Q193" i="2"/>
  <c r="F185" i="2"/>
  <c r="Q183" i="2"/>
  <c r="Q172" i="2"/>
  <c r="Q164" i="2"/>
  <c r="Q156" i="2"/>
  <c r="Q148" i="2"/>
  <c r="L144" i="2"/>
  <c r="D144" i="2"/>
  <c r="Q115" i="2"/>
  <c r="Q108" i="2"/>
  <c r="I102" i="2"/>
  <c r="Q95" i="2"/>
  <c r="L92" i="2"/>
  <c r="D92" i="2"/>
  <c r="K82" i="2"/>
  <c r="F82" i="2"/>
  <c r="H78" i="2"/>
  <c r="J71" i="2"/>
  <c r="Q72" i="2"/>
  <c r="L67" i="2"/>
  <c r="D67" i="2"/>
  <c r="Q56" i="2"/>
  <c r="F20" i="2"/>
  <c r="I16" i="2"/>
  <c r="Q14" i="2"/>
  <c r="J12" i="2"/>
  <c r="B12" i="2"/>
  <c r="F4" i="2"/>
  <c r="R207" i="2"/>
  <c r="G198" i="2"/>
  <c r="F191" i="2"/>
  <c r="Q189" i="2"/>
  <c r="J185" i="2"/>
  <c r="B185" i="2"/>
  <c r="F181" i="2"/>
  <c r="Q176" i="2"/>
  <c r="Q169" i="2"/>
  <c r="Q161" i="2"/>
  <c r="Q153" i="2"/>
  <c r="Q143" i="2"/>
  <c r="Q134" i="2"/>
  <c r="E128" i="2"/>
  <c r="E116" i="2"/>
  <c r="E110" i="2"/>
  <c r="H102" i="2"/>
  <c r="Q96" i="2"/>
  <c r="Q91" i="2"/>
  <c r="J82" i="2"/>
  <c r="Q84" i="2"/>
  <c r="E82" i="2"/>
  <c r="Q73" i="2"/>
  <c r="I71" i="2"/>
  <c r="E63" i="2"/>
  <c r="K24" i="2"/>
  <c r="Q25" i="2"/>
  <c r="E20" i="2"/>
  <c r="I12" i="2"/>
  <c r="K8" i="2"/>
  <c r="E4" i="2"/>
  <c r="J40" i="2"/>
  <c r="R210" i="2"/>
  <c r="K198" i="2"/>
  <c r="C198" i="2"/>
  <c r="Q195" i="2"/>
  <c r="J191" i="2"/>
  <c r="B191" i="2"/>
  <c r="Q174" i="2"/>
  <c r="Q166" i="2"/>
  <c r="Q158" i="2"/>
  <c r="F175" i="2"/>
  <c r="Q150" i="2"/>
  <c r="C144" i="2"/>
  <c r="L128" i="2"/>
  <c r="D128" i="2"/>
  <c r="L122" i="2"/>
  <c r="D122" i="2"/>
  <c r="L116" i="2"/>
  <c r="D116" i="2"/>
  <c r="L110" i="2"/>
  <c r="D110" i="2"/>
  <c r="L102" i="2"/>
  <c r="D102" i="2"/>
  <c r="G102" i="2"/>
  <c r="I82" i="2"/>
  <c r="L82" i="2"/>
  <c r="D82" i="2"/>
  <c r="K78" i="2"/>
  <c r="C78" i="2"/>
  <c r="F78" i="2"/>
  <c r="H71" i="2"/>
  <c r="J67" i="2"/>
  <c r="L63" i="2"/>
  <c r="D63" i="2"/>
  <c r="E59" i="2"/>
  <c r="E40" i="2"/>
  <c r="G24" i="2"/>
  <c r="J24" i="2"/>
  <c r="B24" i="2"/>
  <c r="G8" i="2"/>
  <c r="J8" i="2"/>
  <c r="B8" i="2"/>
  <c r="L4" i="2"/>
  <c r="D4" i="2"/>
  <c r="E198" i="2"/>
  <c r="K185" i="2"/>
  <c r="Q186" i="2"/>
  <c r="Q171" i="2"/>
  <c r="G175" i="2"/>
  <c r="Q163" i="2"/>
  <c r="Q155" i="2"/>
  <c r="J144" i="2"/>
  <c r="B144" i="2"/>
  <c r="K122" i="2"/>
  <c r="C122" i="2"/>
  <c r="H116" i="2"/>
  <c r="K116" i="2"/>
  <c r="C116" i="2"/>
  <c r="H110" i="2"/>
  <c r="K110" i="2"/>
  <c r="C110" i="2"/>
  <c r="K102" i="2"/>
  <c r="C102" i="2"/>
  <c r="F102" i="2"/>
  <c r="Q98" i="2"/>
  <c r="I92" i="2"/>
  <c r="H86" i="2"/>
  <c r="Q80" i="2"/>
  <c r="E78" i="2"/>
  <c r="Q75" i="2"/>
  <c r="Q69" i="2"/>
  <c r="I67" i="2"/>
  <c r="K63" i="2"/>
  <c r="C63" i="2"/>
  <c r="L59" i="2"/>
  <c r="D59" i="2"/>
  <c r="Q55" i="2"/>
  <c r="Q47" i="2"/>
  <c r="L40" i="2"/>
  <c r="D40" i="2"/>
  <c r="Q27" i="2"/>
  <c r="I24" i="2"/>
  <c r="K20" i="2"/>
  <c r="Q21" i="2"/>
  <c r="F16" i="2"/>
  <c r="Q11" i="2"/>
  <c r="I8" i="2"/>
  <c r="Q5" i="2"/>
  <c r="G40" i="2"/>
  <c r="R205" i="2"/>
  <c r="L198" i="2"/>
  <c r="Q199" i="2"/>
  <c r="K191" i="2"/>
  <c r="Q192" i="2"/>
  <c r="G185" i="2"/>
  <c r="K181" i="2"/>
  <c r="Q182" i="2"/>
  <c r="Q168" i="2"/>
  <c r="Q160" i="2"/>
  <c r="Q152" i="2"/>
  <c r="H144" i="2"/>
  <c r="J128" i="2"/>
  <c r="G122" i="2"/>
  <c r="J122" i="2"/>
  <c r="J110" i="2"/>
  <c r="J102" i="2"/>
  <c r="E102" i="2"/>
  <c r="H92" i="2"/>
  <c r="L78" i="2"/>
  <c r="D78" i="2"/>
  <c r="Q76" i="2"/>
  <c r="Q70" i="2"/>
  <c r="H67" i="2"/>
  <c r="J63" i="2"/>
  <c r="Q64" i="2"/>
  <c r="Q35" i="2"/>
  <c r="Q28" i="2"/>
  <c r="Q22" i="2"/>
  <c r="J20" i="2"/>
  <c r="B20" i="2"/>
  <c r="E16" i="2"/>
  <c r="F12" i="2"/>
  <c r="B4" i="2"/>
  <c r="B197" i="2"/>
  <c r="K4" i="2"/>
  <c r="D191" i="2"/>
  <c r="D185" i="2"/>
  <c r="C191" i="2"/>
  <c r="C185" i="2"/>
  <c r="C181" i="2"/>
  <c r="Q139" i="2"/>
  <c r="Q131" i="2"/>
  <c r="F128" i="2"/>
  <c r="Q124" i="2"/>
  <c r="J116" i="2"/>
  <c r="Q117" i="2"/>
  <c r="Q111" i="2"/>
  <c r="Q104" i="2"/>
  <c r="Q97" i="2"/>
  <c r="Q90" i="2"/>
  <c r="Q77" i="2"/>
  <c r="Q65" i="2"/>
  <c r="K59" i="2"/>
  <c r="C59" i="2"/>
  <c r="Q53" i="2"/>
  <c r="Q50" i="2"/>
  <c r="Q45" i="2"/>
  <c r="Q42" i="2"/>
  <c r="Q39" i="2"/>
  <c r="Q31" i="2"/>
  <c r="L24" i="2"/>
  <c r="D24" i="2"/>
  <c r="Q19" i="2"/>
  <c r="Q13" i="2"/>
  <c r="Q125" i="2"/>
  <c r="Q36" i="2"/>
  <c r="L8" i="2"/>
  <c r="D8" i="2"/>
  <c r="Q6" i="2"/>
  <c r="B211" i="2"/>
  <c r="Q211" i="2" s="1"/>
  <c r="C208" i="2"/>
  <c r="Q208" i="2" s="1"/>
  <c r="Q200" i="2"/>
  <c r="G144" i="2"/>
  <c r="Q141" i="2"/>
  <c r="Q133" i="2"/>
  <c r="Q126" i="2"/>
  <c r="Q119" i="2"/>
  <c r="Q113" i="2"/>
  <c r="Q106" i="2"/>
  <c r="Q99" i="2"/>
  <c r="Q85" i="2"/>
  <c r="G78" i="2"/>
  <c r="K71" i="2"/>
  <c r="C71" i="2"/>
  <c r="Q52" i="2"/>
  <c r="Q44" i="2"/>
  <c r="Q33" i="2"/>
  <c r="L20" i="2"/>
  <c r="D20" i="2"/>
  <c r="Q15" i="2"/>
  <c r="Q9" i="2"/>
  <c r="D198" i="2"/>
  <c r="F144" i="2"/>
  <c r="Q127" i="2"/>
  <c r="K40" i="2"/>
  <c r="C40" i="2"/>
  <c r="Q38" i="2"/>
  <c r="Q30" i="2"/>
  <c r="Q147" i="2"/>
  <c r="E144" i="2"/>
  <c r="Q135" i="2"/>
  <c r="Q121" i="2"/>
  <c r="G86" i="2"/>
  <c r="K67" i="2"/>
  <c r="C67" i="2"/>
  <c r="Q136" i="2"/>
  <c r="K128" i="2"/>
  <c r="C128" i="2"/>
  <c r="Q94" i="2"/>
  <c r="Q81" i="2"/>
  <c r="Q74" i="2"/>
  <c r="Q68" i="2"/>
  <c r="Q23" i="2"/>
  <c r="L16" i="2"/>
  <c r="D16" i="2"/>
  <c r="Q123" i="2"/>
  <c r="B122" i="2"/>
  <c r="Q137" i="2"/>
  <c r="Q129" i="2"/>
  <c r="B128" i="2"/>
  <c r="F116" i="2"/>
  <c r="F110" i="2"/>
  <c r="B102" i="2"/>
  <c r="B92" i="2"/>
  <c r="B86" i="2"/>
  <c r="B82" i="2"/>
  <c r="B78" i="2"/>
  <c r="F71" i="2"/>
  <c r="F67" i="2"/>
  <c r="F63" i="2"/>
  <c r="F59" i="2"/>
  <c r="G16" i="2"/>
  <c r="G12" i="2"/>
  <c r="Q103" i="2"/>
  <c r="Q93" i="2"/>
  <c r="Q87" i="2"/>
  <c r="Q83" i="2"/>
  <c r="Q79" i="2"/>
  <c r="B116" i="2"/>
  <c r="B110" i="2"/>
  <c r="B71" i="2"/>
  <c r="B67" i="2"/>
  <c r="B63" i="2"/>
  <c r="B59" i="2"/>
  <c r="B40" i="2"/>
  <c r="C24" i="2"/>
  <c r="C20" i="2"/>
  <c r="C16" i="2"/>
  <c r="C12" i="2"/>
  <c r="C8" i="2"/>
  <c r="C4" i="2"/>
  <c r="G197" i="2" l="1"/>
  <c r="Q8" i="2"/>
  <c r="H58" i="2"/>
  <c r="H203" i="2" s="1"/>
  <c r="H204" i="2" s="1"/>
  <c r="L58" i="2"/>
  <c r="J197" i="2"/>
  <c r="J58" i="2"/>
  <c r="J203" i="2" s="1"/>
  <c r="J204" i="2" s="1"/>
  <c r="D58" i="2"/>
  <c r="Q12" i="2"/>
  <c r="Q102" i="2"/>
  <c r="F58" i="2"/>
  <c r="C58" i="2"/>
  <c r="C203" i="2" s="1"/>
  <c r="C204" i="2" s="1"/>
  <c r="Q175" i="2"/>
  <c r="I58" i="2"/>
  <c r="I203" i="2" s="1"/>
  <c r="I204" i="2" s="1"/>
  <c r="H197" i="2"/>
  <c r="I197" i="2"/>
  <c r="K197" i="2"/>
  <c r="Q122" i="2"/>
  <c r="Q16" i="2"/>
  <c r="Q92" i="2"/>
  <c r="Q116" i="2"/>
  <c r="Q185" i="2"/>
  <c r="F203" i="2"/>
  <c r="F204" i="2" s="1"/>
  <c r="Q24" i="2"/>
  <c r="F197" i="2"/>
  <c r="E58" i="2"/>
  <c r="E203" i="2" s="1"/>
  <c r="E204" i="2" s="1"/>
  <c r="Q144" i="2"/>
  <c r="E197" i="2"/>
  <c r="Q20" i="2"/>
  <c r="Q40" i="2"/>
  <c r="Q191" i="2"/>
  <c r="D203" i="2"/>
  <c r="D204" i="2" s="1"/>
  <c r="K58" i="2"/>
  <c r="K203" i="2" s="1"/>
  <c r="K204" i="2" s="1"/>
  <c r="Q198" i="2"/>
  <c r="Q63" i="2"/>
  <c r="Q78" i="2"/>
  <c r="G58" i="2"/>
  <c r="G203" i="2" s="1"/>
  <c r="G204" i="2" s="1"/>
  <c r="D197" i="2"/>
  <c r="L197" i="2"/>
  <c r="Q82" i="2"/>
  <c r="R28" i="2"/>
  <c r="L203" i="2"/>
  <c r="L204" i="2" s="1"/>
  <c r="Q4" i="2"/>
  <c r="Q59" i="2"/>
  <c r="B58" i="2"/>
  <c r="Q67" i="2"/>
  <c r="Q128" i="2"/>
  <c r="Q71" i="2"/>
  <c r="Q86" i="2"/>
  <c r="Q110" i="2"/>
  <c r="Q181" i="2"/>
  <c r="C197" i="2"/>
  <c r="Q197" i="2" l="1"/>
  <c r="S180" i="2" s="1"/>
  <c r="S178" i="2" s="1"/>
  <c r="S3" i="2"/>
  <c r="Q58" i="2"/>
  <c r="Q203" i="2" s="1"/>
  <c r="Q204" i="2" s="1"/>
  <c r="B203" i="2"/>
  <c r="B204" i="2" s="1"/>
  <c r="S2" i="2" l="1"/>
  <c r="Q207" i="2" s="1"/>
  <c r="S1" i="2" l="1"/>
  <c r="Q205" i="2" s="1"/>
</calcChain>
</file>

<file path=xl/sharedStrings.xml><?xml version="1.0" encoding="utf-8"?>
<sst xmlns="http://schemas.openxmlformats.org/spreadsheetml/2006/main" count="210" uniqueCount="132">
  <si>
    <t>FALTAN TERRENO</t>
  </si>
  <si>
    <t>EN TERRENO</t>
  </si>
  <si>
    <t>META TERRENO</t>
  </si>
  <si>
    <t>FALTAN CONSULTA</t>
  </si>
  <si>
    <t>EN CONSULTA</t>
  </si>
  <si>
    <t>META CONSULTA</t>
  </si>
  <si>
    <t>TOTAL CONS EXTERNA</t>
  </si>
  <si>
    <t>% MNT</t>
  </si>
  <si>
    <t>TTL / GRAL</t>
  </si>
  <si>
    <t>CONCEPTOS</t>
  </si>
  <si>
    <t>MESTIZO</t>
  </si>
  <si>
    <t>NEGRO</t>
  </si>
  <si>
    <t xml:space="preserve">BLANCO </t>
  </si>
  <si>
    <t>COLOR DE LA PIEL</t>
  </si>
  <si>
    <t>TOTAL DE CONSULTA</t>
  </si>
  <si>
    <t>15--18</t>
  </si>
  <si>
    <t>10--14</t>
  </si>
  <si>
    <t xml:space="preserve">5--9 </t>
  </si>
  <si>
    <t>1--4</t>
  </si>
  <si>
    <t>&lt; 1</t>
  </si>
  <si>
    <t>TERRENO NIÑO SANO</t>
  </si>
  <si>
    <t>TERRENO PEDIATRIA</t>
  </si>
  <si>
    <t>60Y+</t>
  </si>
  <si>
    <t>20-59</t>
  </si>
  <si>
    <t>TERRENO MEDICINA</t>
  </si>
  <si>
    <t>TERR</t>
  </si>
  <si>
    <t>CONS</t>
  </si>
  <si>
    <t>ESTAN INCLUIDOS EN LOS TERRENOS DEL CONSULTORIO</t>
  </si>
  <si>
    <t>DE  ELLOS:</t>
  </si>
  <si>
    <t>DR.</t>
  </si>
  <si>
    <t>TOTAL</t>
  </si>
  <si>
    <t>PCTES ATENDIDOS POR CONSULTAS MULTIDIC.DE INGRESO EN HOGAR POR SINDROME FEBRIL</t>
  </si>
  <si>
    <t xml:space="preserve">VISITA AL HOSPITAL </t>
  </si>
  <si>
    <t>REMITIDO</t>
  </si>
  <si>
    <t>OTRAS CAUSA ING/HOGAR</t>
  </si>
  <si>
    <t>COVID-19 SOSPECHOSO</t>
  </si>
  <si>
    <t>COVID-19 CONFIRMADO</t>
  </si>
  <si>
    <t>CIRUGIA AMB CON EVOL TTO</t>
  </si>
  <si>
    <t>EGRES HOSP PRECOZ</t>
  </si>
  <si>
    <t>SACROLUMBALGIA</t>
  </si>
  <si>
    <t>INFLAMACION  PÉLVICA</t>
  </si>
  <si>
    <t>DE ELLO:ACCID HOGAR</t>
  </si>
  <si>
    <t>TRAUMATISMO</t>
  </si>
  <si>
    <t>CEFALEA MIGRAÑOSA</t>
  </si>
  <si>
    <t xml:space="preserve">SÍNDROME FEBRIL </t>
  </si>
  <si>
    <t>ENF INFECTO CONTAGIOSAS</t>
  </si>
  <si>
    <t>AFECCION EMBARAZO</t>
  </si>
  <si>
    <t>DIABETES MELLITUS</t>
  </si>
  <si>
    <t>SEPSIS URINARIA</t>
  </si>
  <si>
    <t>NEOPLASIA ESTADO TERM</t>
  </si>
  <si>
    <t>EDA</t>
  </si>
  <si>
    <t>HIPERTENSION  ARTERIAL</t>
  </si>
  <si>
    <t xml:space="preserve">CARDIOPATIA  ISQUEMICA </t>
  </si>
  <si>
    <t>NEUMO Y BRONCRONEUM</t>
  </si>
  <si>
    <t>IRA</t>
  </si>
  <si>
    <t>ASMA BRRONQUIAL</t>
  </si>
  <si>
    <t>DIAS ESTADIAS</t>
  </si>
  <si>
    <t>60 Y MAS</t>
  </si>
  <si>
    <t>19--59</t>
  </si>
  <si>
    <t xml:space="preserve">ALTA INGRESO  HOGAR </t>
  </si>
  <si>
    <t>INGRESO HOGAR</t>
  </si>
  <si>
    <t>&lt; 11,0 g/dL DE 12 A 23 MESES DE EDAD</t>
  </si>
  <si>
    <t>LACT 2 AÑOS</t>
  </si>
  <si>
    <t>&lt; 11,0 g/dL DE 6 y 11 MESES DE EDAD</t>
  </si>
  <si>
    <t>LACT 6TO MES</t>
  </si>
  <si>
    <t>LACT AL NACER</t>
  </si>
  <si>
    <t>CAPT.  B/P BAJO PESO</t>
  </si>
  <si>
    <t>CAPT.  R/N</t>
  </si>
  <si>
    <t>CONSULTA PUERICULTURA</t>
  </si>
  <si>
    <t>CONSULTA  PEDIATRIA</t>
  </si>
  <si>
    <t>35-49</t>
  </si>
  <si>
    <t>20-34</t>
  </si>
  <si>
    <t>15-18</t>
  </si>
  <si>
    <t>12--14</t>
  </si>
  <si>
    <t>DIU IMPLANTADOS</t>
  </si>
  <si>
    <t>HG-110G/L   3ER TRIM.</t>
  </si>
  <si>
    <t>HG-110G/L   1ER TRIM.</t>
  </si>
  <si>
    <t>AUMENT-8KG   3ER TRIM.</t>
  </si>
  <si>
    <t>CAPT.PESO OBESA</t>
  </si>
  <si>
    <t>CAPT.PESO DEFICIENTE</t>
  </si>
  <si>
    <t>VIG.NUTR EMBARAZADAS.</t>
  </si>
  <si>
    <t>10--18</t>
  </si>
  <si>
    <t>RIESGO PRECONCEPCIONAL</t>
  </si>
  <si>
    <t>MUJER EDAD FERTIL</t>
  </si>
  <si>
    <t>CAPTACION PUERPERA</t>
  </si>
  <si>
    <t>TERRENO OSBTETRICIA</t>
  </si>
  <si>
    <t>CONTROL PUÉRPERA</t>
  </si>
  <si>
    <t>RECONSULTA PRENATAL RPN</t>
  </si>
  <si>
    <t xml:space="preserve">ANT CRONICAS NO  TRASM </t>
  </si>
  <si>
    <t>FAMILIA DIFUNCIONAL</t>
  </si>
  <si>
    <t xml:space="preserve">RIESGO SOCIAL </t>
  </si>
  <si>
    <t>3ER TRIMESTRE</t>
  </si>
  <si>
    <t>2DO TRIMESTRE</t>
  </si>
  <si>
    <t>1ER TRIMESTRE</t>
  </si>
  <si>
    <t>1RA CONS  EMBARAZADAS</t>
  </si>
  <si>
    <t>OBSTETRICIA</t>
  </si>
  <si>
    <t>ORIENTACION FAMILIA</t>
  </si>
  <si>
    <t>CHEQUEO  HTA</t>
  </si>
  <si>
    <t>EPS</t>
  </si>
  <si>
    <t>CAPT SR+21</t>
  </si>
  <si>
    <t>TABAQUISMO</t>
  </si>
  <si>
    <t>OBESO</t>
  </si>
  <si>
    <t>PAREJAS INFERTILES</t>
  </si>
  <si>
    <t>CARDIOPATIA ISQUEMICA</t>
  </si>
  <si>
    <t>INSUFICIENCIA RENAL</t>
  </si>
  <si>
    <t>NEOPLASIA</t>
  </si>
  <si>
    <t>HIPERCOLESTEROLEMIA</t>
  </si>
  <si>
    <t>CAAB</t>
  </si>
  <si>
    <t>AVE</t>
  </si>
  <si>
    <t>DM</t>
  </si>
  <si>
    <t>INCIDE: HTA</t>
  </si>
  <si>
    <t>CAPTACION DE CNT</t>
  </si>
  <si>
    <t>ORIENTACIÓN NUTRICIONAL NATURISTA</t>
  </si>
  <si>
    <t>EJERCICIOS TERAPÉUTICOS TRADICIONALES</t>
  </si>
  <si>
    <t>HELIO-TALASOTERAPIA</t>
  </si>
  <si>
    <t>HIDROLOGÍA MÉDICA</t>
  </si>
  <si>
    <t>OZONOTERAPIA</t>
  </si>
  <si>
    <t>TERAPIA FLORAL</t>
  </si>
  <si>
    <t>HOMEOPATÍA</t>
  </si>
  <si>
    <t>APITERAPIA</t>
  </si>
  <si>
    <t>FITOTERAPIA</t>
  </si>
  <si>
    <t>DE ELLO: ACUPUNTURA</t>
  </si>
  <si>
    <t>ACUPUNTURA Y TÉCNICAS AFINES</t>
  </si>
  <si>
    <t>PACIENTES  VISTO MNT</t>
  </si>
  <si>
    <t>DE ELLOS GERIATRIA</t>
  </si>
  <si>
    <t>EXAMEN .PERÍODICO.TRAB.</t>
  </si>
  <si>
    <t>EXAMEN. PRE-EMPLEO</t>
  </si>
  <si>
    <t>CONSULTA MEDICINA</t>
  </si>
  <si>
    <t>GBT/                                                                                                                     2024</t>
  </si>
  <si>
    <t>TOTAL GENERAL</t>
  </si>
  <si>
    <t xml:space="preserve">CONSOLIDADO DE  EQUIPO BASICO </t>
  </si>
  <si>
    <t>POL. CARLOS J. FINLAY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</si>
</sst>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3"/>
      <name val="Calibri"/>
      <family val="2"/>
    </font>
    <font>
      <b/>
      <sz val="13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78E30D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5923C"/>
        <bgColor indexed="64"/>
      </patternFill>
    </fill>
    <fill>
      <patternFill patternType="solid">
        <fgColor rgb="FF17D92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828B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0E0A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4" fillId="0" borderId="0"/>
  </cellStyleXfs>
  <cellXfs count="110">
    <xf numFmtId="0" fontId="0" fillId="0" borderId="0" xfId="0"/>
    <xf numFmtId="0" fontId="2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2" fillId="0" borderId="0" xfId="1" applyFont="1"/>
    <xf numFmtId="0" fontId="3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 applyProtection="1">
      <alignment horizontal="center" vertical="center"/>
      <protection locked="0"/>
    </xf>
    <xf numFmtId="0" fontId="6" fillId="3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1" xfId="2" applyFont="1" applyFill="1" applyBorder="1" applyAlignment="1" applyProtection="1">
      <alignment horizontal="center" vertical="center"/>
      <protection locked="0"/>
    </xf>
    <xf numFmtId="0" fontId="3" fillId="5" borderId="1" xfId="1" applyFont="1" applyFill="1" applyBorder="1" applyAlignment="1">
      <alignment horizontal="center"/>
    </xf>
    <xf numFmtId="0" fontId="3" fillId="5" borderId="1" xfId="2" applyFont="1" applyFill="1" applyBorder="1" applyAlignment="1" applyProtection="1">
      <alignment horizontal="center" vertical="center"/>
      <protection locked="0"/>
    </xf>
    <xf numFmtId="0" fontId="3" fillId="6" borderId="1" xfId="1" applyFont="1" applyFill="1" applyBorder="1" applyAlignment="1">
      <alignment horizontal="center"/>
    </xf>
    <xf numFmtId="0" fontId="3" fillId="6" borderId="1" xfId="2" applyFont="1" applyFill="1" applyBorder="1" applyAlignment="1" applyProtection="1">
      <alignment horizontal="center" vertical="center"/>
      <protection locked="0"/>
    </xf>
    <xf numFmtId="0" fontId="3" fillId="0" borderId="1" xfId="1" applyFont="1" applyBorder="1" applyAlignment="1">
      <alignment horizontal="center"/>
    </xf>
    <xf numFmtId="0" fontId="3" fillId="0" borderId="1" xfId="2" applyFont="1" applyBorder="1" applyAlignment="1" applyProtection="1">
      <alignment horizontal="center" vertical="center"/>
      <protection locked="0"/>
    </xf>
    <xf numFmtId="0" fontId="3" fillId="7" borderId="1" xfId="2" applyFont="1" applyFill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/>
    </xf>
    <xf numFmtId="0" fontId="7" fillId="7" borderId="1" xfId="1" applyFont="1" applyFill="1" applyBorder="1" applyAlignment="1" applyProtection="1">
      <alignment horizontal="center" wrapText="1"/>
      <protection locked="0"/>
    </xf>
    <xf numFmtId="0" fontId="3" fillId="0" borderId="0" xfId="2" applyFont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1" applyFont="1" applyBorder="1" applyAlignment="1" applyProtection="1">
      <alignment horizontal="center" wrapText="1"/>
      <protection locked="0"/>
    </xf>
    <xf numFmtId="0" fontId="3" fillId="8" borderId="1" xfId="2" applyFont="1" applyFill="1" applyBorder="1" applyAlignment="1">
      <alignment horizontal="center" vertical="center"/>
    </xf>
    <xf numFmtId="0" fontId="7" fillId="8" borderId="1" xfId="1" applyFont="1" applyFill="1" applyBorder="1" applyAlignment="1" applyProtection="1">
      <alignment horizontal="center" wrapText="1"/>
      <protection locked="0"/>
    </xf>
    <xf numFmtId="0" fontId="3" fillId="9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 applyProtection="1">
      <alignment horizontal="center" wrapText="1"/>
      <protection locked="0"/>
    </xf>
    <xf numFmtId="0" fontId="3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7" fillId="10" borderId="1" xfId="1" applyFont="1" applyFill="1" applyBorder="1" applyAlignment="1" applyProtection="1">
      <alignment horizontal="center" wrapText="1"/>
      <protection locked="0"/>
    </xf>
    <xf numFmtId="0" fontId="3" fillId="11" borderId="0" xfId="1" applyFont="1" applyFill="1" applyAlignment="1">
      <alignment horizontal="center"/>
    </xf>
    <xf numFmtId="0" fontId="8" fillId="0" borderId="0" xfId="1" applyFont="1" applyAlignment="1">
      <alignment horizontal="center"/>
    </xf>
    <xf numFmtId="0" fontId="3" fillId="4" borderId="0" xfId="1" applyFont="1" applyFill="1" applyAlignment="1">
      <alignment horizontal="center"/>
    </xf>
    <xf numFmtId="0" fontId="6" fillId="12" borderId="0" xfId="1" applyFont="1" applyFill="1" applyAlignment="1">
      <alignment horizontal="left"/>
    </xf>
    <xf numFmtId="0" fontId="6" fillId="12" borderId="0" xfId="1" applyFont="1" applyFill="1"/>
    <xf numFmtId="0" fontId="9" fillId="12" borderId="0" xfId="1" applyFont="1" applyFill="1" applyAlignment="1" applyProtection="1">
      <alignment horizontal="left" wrapText="1"/>
      <protection locked="0"/>
    </xf>
    <xf numFmtId="0" fontId="3" fillId="13" borderId="0" xfId="1" applyFont="1" applyFill="1" applyAlignment="1">
      <alignment horizontal="center"/>
    </xf>
    <xf numFmtId="0" fontId="6" fillId="12" borderId="0" xfId="1" applyFont="1" applyFill="1" applyAlignment="1">
      <alignment horizontal="center" vertical="center"/>
    </xf>
    <xf numFmtId="0" fontId="10" fillId="12" borderId="0" xfId="1" applyFont="1" applyFill="1" applyAlignment="1" applyProtection="1">
      <alignment horizontal="left" vertical="top"/>
      <protection locked="0"/>
    </xf>
    <xf numFmtId="0" fontId="3" fillId="14" borderId="1" xfId="2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0" fontId="7" fillId="14" borderId="1" xfId="1" applyFont="1" applyFill="1" applyBorder="1" applyAlignment="1" applyProtection="1">
      <alignment horizontal="center" wrapText="1"/>
      <protection locked="0"/>
    </xf>
    <xf numFmtId="0" fontId="3" fillId="15" borderId="1" xfId="2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7" fillId="16" borderId="1" xfId="1" applyFont="1" applyFill="1" applyBorder="1" applyAlignment="1" applyProtection="1">
      <alignment horizontal="center" wrapText="1"/>
      <protection locked="0"/>
    </xf>
    <xf numFmtId="0" fontId="3" fillId="17" borderId="1" xfId="1" applyFont="1" applyFill="1" applyBorder="1" applyAlignment="1">
      <alignment horizontal="center" vertical="center"/>
    </xf>
    <xf numFmtId="0" fontId="7" fillId="17" borderId="1" xfId="1" applyFont="1" applyFill="1" applyBorder="1" applyAlignment="1" applyProtection="1">
      <alignment horizontal="center" wrapText="1"/>
      <protection locked="0"/>
    </xf>
    <xf numFmtId="0" fontId="3" fillId="18" borderId="1" xfId="2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7" fillId="18" borderId="1" xfId="1" applyFont="1" applyFill="1" applyBorder="1" applyAlignment="1" applyProtection="1">
      <alignment horizontal="center" wrapText="1"/>
      <protection locked="0"/>
    </xf>
    <xf numFmtId="0" fontId="3" fillId="19" borderId="1" xfId="2" applyFont="1" applyFill="1" applyBorder="1" applyAlignment="1">
      <alignment horizontal="center" vertical="center"/>
    </xf>
    <xf numFmtId="0" fontId="3" fillId="19" borderId="1" xfId="1" applyFont="1" applyFill="1" applyBorder="1" applyAlignment="1">
      <alignment horizontal="center" vertical="center"/>
    </xf>
    <xf numFmtId="0" fontId="7" fillId="19" borderId="1" xfId="1" applyFont="1" applyFill="1" applyBorder="1" applyAlignment="1" applyProtection="1">
      <alignment horizontal="center" wrapText="1"/>
      <protection locked="0"/>
    </xf>
    <xf numFmtId="0" fontId="3" fillId="20" borderId="1" xfId="2" applyFont="1" applyFill="1" applyBorder="1" applyAlignment="1">
      <alignment horizontal="center" vertical="center"/>
    </xf>
    <xf numFmtId="0" fontId="7" fillId="20" borderId="1" xfId="1" applyFont="1" applyFill="1" applyBorder="1" applyAlignment="1" applyProtection="1">
      <alignment horizontal="center" wrapText="1"/>
      <protection locked="0"/>
    </xf>
    <xf numFmtId="0" fontId="3" fillId="21" borderId="1" xfId="2" applyFont="1" applyFill="1" applyBorder="1" applyAlignment="1">
      <alignment horizontal="center" vertical="center"/>
    </xf>
    <xf numFmtId="0" fontId="7" fillId="22" borderId="1" xfId="1" applyFont="1" applyFill="1" applyBorder="1" applyAlignment="1" applyProtection="1">
      <alignment horizontal="center" wrapText="1"/>
      <protection locked="0"/>
    </xf>
    <xf numFmtId="0" fontId="3" fillId="12" borderId="1" xfId="2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7" fillId="12" borderId="1" xfId="1" applyFont="1" applyFill="1" applyBorder="1" applyAlignment="1" applyProtection="1">
      <alignment horizontal="center" wrapText="1"/>
      <protection locked="0"/>
    </xf>
    <xf numFmtId="0" fontId="3" fillId="23" borderId="1" xfId="2" applyFont="1" applyFill="1" applyBorder="1" applyAlignment="1">
      <alignment horizontal="center" vertical="center"/>
    </xf>
    <xf numFmtId="0" fontId="3" fillId="23" borderId="1" xfId="1" applyFont="1" applyFill="1" applyBorder="1" applyAlignment="1">
      <alignment horizontal="center" vertical="center"/>
    </xf>
    <xf numFmtId="0" fontId="7" fillId="23" borderId="1" xfId="1" applyFont="1" applyFill="1" applyBorder="1" applyAlignment="1" applyProtection="1">
      <alignment horizontal="center" wrapText="1"/>
      <protection locked="0"/>
    </xf>
    <xf numFmtId="0" fontId="3" fillId="24" borderId="1" xfId="2" applyFont="1" applyFill="1" applyBorder="1" applyAlignment="1">
      <alignment horizontal="center" vertical="center"/>
    </xf>
    <xf numFmtId="0" fontId="7" fillId="25" borderId="1" xfId="1" applyFont="1" applyFill="1" applyBorder="1" applyAlignment="1" applyProtection="1">
      <alignment horizontal="center" wrapText="1"/>
      <protection locked="0"/>
    </xf>
    <xf numFmtId="0" fontId="7" fillId="4" borderId="1" xfId="1" applyFont="1" applyFill="1" applyBorder="1" applyAlignment="1" applyProtection="1">
      <alignment horizontal="center" wrapText="1"/>
      <protection locked="0"/>
    </xf>
    <xf numFmtId="0" fontId="3" fillId="26" borderId="1" xfId="2" applyFont="1" applyFill="1" applyBorder="1" applyAlignment="1">
      <alignment horizontal="center" vertical="center"/>
    </xf>
    <xf numFmtId="0" fontId="7" fillId="26" borderId="1" xfId="1" applyFont="1" applyFill="1" applyBorder="1" applyAlignment="1" applyProtection="1">
      <alignment horizontal="center" wrapText="1"/>
      <protection locked="0"/>
    </xf>
    <xf numFmtId="0" fontId="3" fillId="27" borderId="1" xfId="2" applyFont="1" applyFill="1" applyBorder="1" applyAlignment="1">
      <alignment horizontal="center" vertical="center"/>
    </xf>
    <xf numFmtId="0" fontId="7" fillId="27" borderId="1" xfId="1" applyFont="1" applyFill="1" applyBorder="1" applyAlignment="1" applyProtection="1">
      <alignment horizontal="center" wrapText="1"/>
      <protection locked="0"/>
    </xf>
    <xf numFmtId="0" fontId="3" fillId="8" borderId="1" xfId="1" applyFont="1" applyFill="1" applyBorder="1" applyAlignment="1">
      <alignment horizontal="center" vertical="center"/>
    </xf>
    <xf numFmtId="0" fontId="7" fillId="28" borderId="1" xfId="1" applyFont="1" applyFill="1" applyBorder="1" applyAlignment="1" applyProtection="1">
      <alignment horizontal="center" wrapText="1"/>
      <protection locked="0"/>
    </xf>
    <xf numFmtId="17" fontId="7" fillId="28" borderId="1" xfId="1" applyNumberFormat="1" applyFont="1" applyFill="1" applyBorder="1" applyAlignment="1" applyProtection="1">
      <alignment horizontal="center" wrapText="1"/>
      <protection locked="0"/>
    </xf>
    <xf numFmtId="0" fontId="3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 applyProtection="1">
      <alignment horizontal="center" wrapText="1"/>
      <protection locked="0"/>
    </xf>
    <xf numFmtId="0" fontId="3" fillId="29" borderId="1" xfId="2" applyFont="1" applyFill="1" applyBorder="1" applyAlignment="1">
      <alignment horizontal="center" vertical="center"/>
    </xf>
    <xf numFmtId="0" fontId="7" fillId="30" borderId="1" xfId="1" applyFont="1" applyFill="1" applyBorder="1" applyAlignment="1" applyProtection="1">
      <alignment horizontal="center" wrapText="1"/>
      <protection locked="0"/>
    </xf>
    <xf numFmtId="0" fontId="3" fillId="31" borderId="1" xfId="2" applyFont="1" applyFill="1" applyBorder="1" applyAlignment="1">
      <alignment horizontal="center" vertical="center"/>
    </xf>
    <xf numFmtId="0" fontId="7" fillId="31" borderId="1" xfId="1" applyFont="1" applyFill="1" applyBorder="1" applyAlignment="1" applyProtection="1">
      <alignment horizontal="center" wrapText="1"/>
      <protection locked="0"/>
    </xf>
    <xf numFmtId="0" fontId="7" fillId="15" borderId="1" xfId="1" applyFont="1" applyFill="1" applyBorder="1" applyAlignment="1" applyProtection="1">
      <alignment horizontal="center" wrapText="1"/>
      <protection locked="0"/>
    </xf>
    <xf numFmtId="0" fontId="3" fillId="32" borderId="1" xfId="2" applyFont="1" applyFill="1" applyBorder="1" applyAlignment="1">
      <alignment horizontal="center" vertical="center"/>
    </xf>
    <xf numFmtId="0" fontId="7" fillId="32" borderId="1" xfId="1" applyFont="1" applyFill="1" applyBorder="1" applyAlignment="1" applyProtection="1">
      <alignment horizontal="center" wrapText="1"/>
      <protection locked="0"/>
    </xf>
    <xf numFmtId="0" fontId="3" fillId="33" borderId="1" xfId="2" applyFont="1" applyFill="1" applyBorder="1" applyAlignment="1">
      <alignment horizontal="center" vertical="center"/>
    </xf>
    <xf numFmtId="0" fontId="7" fillId="33" borderId="1" xfId="1" applyFont="1" applyFill="1" applyBorder="1" applyAlignment="1" applyProtection="1">
      <alignment horizontal="center" wrapText="1"/>
      <protection locked="0"/>
    </xf>
    <xf numFmtId="0" fontId="3" fillId="34" borderId="1" xfId="2" applyFont="1" applyFill="1" applyBorder="1" applyAlignment="1">
      <alignment horizontal="center" vertical="center"/>
    </xf>
    <xf numFmtId="0" fontId="7" fillId="34" borderId="1" xfId="1" applyFont="1" applyFill="1" applyBorder="1" applyAlignment="1" applyProtection="1">
      <alignment horizontal="center" wrapText="1"/>
      <protection locked="0"/>
    </xf>
    <xf numFmtId="17" fontId="7" fillId="0" borderId="1" xfId="1" applyNumberFormat="1" applyFont="1" applyBorder="1" applyAlignment="1" applyProtection="1">
      <alignment horizontal="center" wrapText="1"/>
      <protection locked="0"/>
    </xf>
    <xf numFmtId="0" fontId="3" fillId="35" borderId="1" xfId="2" applyFont="1" applyFill="1" applyBorder="1" applyAlignment="1">
      <alignment horizontal="center" vertical="center"/>
    </xf>
    <xf numFmtId="0" fontId="3" fillId="35" borderId="1" xfId="1" applyFont="1" applyFill="1" applyBorder="1" applyAlignment="1">
      <alignment horizontal="center" vertical="center"/>
    </xf>
    <xf numFmtId="0" fontId="7" fillId="35" borderId="1" xfId="1" applyFont="1" applyFill="1" applyBorder="1" applyAlignment="1" applyProtection="1">
      <alignment horizontal="center" wrapText="1"/>
      <protection locked="0"/>
    </xf>
    <xf numFmtId="0" fontId="3" fillId="36" borderId="1" xfId="2" applyFont="1" applyFill="1" applyBorder="1" applyAlignment="1">
      <alignment horizontal="center" vertical="center"/>
    </xf>
    <xf numFmtId="0" fontId="7" fillId="36" borderId="1" xfId="1" applyFont="1" applyFill="1" applyBorder="1" applyAlignment="1" applyProtection="1">
      <alignment horizontal="center" wrapText="1"/>
      <protection locked="0"/>
    </xf>
    <xf numFmtId="0" fontId="3" fillId="37" borderId="1" xfId="2" applyFont="1" applyFill="1" applyBorder="1" applyAlignment="1">
      <alignment horizontal="center" vertical="center"/>
    </xf>
    <xf numFmtId="0" fontId="7" fillId="37" borderId="1" xfId="1" applyFont="1" applyFill="1" applyBorder="1" applyAlignment="1" applyProtection="1">
      <alignment horizontal="center" wrapText="1"/>
      <protection locked="0"/>
    </xf>
    <xf numFmtId="0" fontId="3" fillId="38" borderId="1" xfId="2" applyFont="1" applyFill="1" applyBorder="1" applyAlignment="1">
      <alignment horizontal="center" vertical="center"/>
    </xf>
    <xf numFmtId="0" fontId="7" fillId="39" borderId="1" xfId="1" applyFont="1" applyFill="1" applyBorder="1" applyAlignment="1" applyProtection="1">
      <alignment horizontal="center" wrapText="1"/>
      <protection locked="0"/>
    </xf>
    <xf numFmtId="0" fontId="7" fillId="40" borderId="1" xfId="1" applyFont="1" applyFill="1" applyBorder="1" applyAlignment="1" applyProtection="1">
      <alignment horizontal="center" wrapText="1"/>
      <protection locked="0"/>
    </xf>
    <xf numFmtId="0" fontId="2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2" fillId="18" borderId="1" xfId="1" applyFont="1" applyFill="1" applyBorder="1" applyAlignment="1" applyProtection="1">
      <alignment horizontal="center" wrapText="1"/>
      <protection locked="0"/>
    </xf>
    <xf numFmtId="0" fontId="3" fillId="20" borderId="0" xfId="2" applyFont="1" applyFill="1" applyAlignment="1">
      <alignment horizontal="center" vertical="center" wrapText="1"/>
    </xf>
    <xf numFmtId="0" fontId="3" fillId="11" borderId="1" xfId="2" applyFont="1" applyFill="1" applyBorder="1" applyAlignment="1">
      <alignment horizontal="center" vertical="center"/>
    </xf>
    <xf numFmtId="0" fontId="7" fillId="41" borderId="1" xfId="1" applyFont="1" applyFill="1" applyBorder="1" applyAlignment="1" applyProtection="1">
      <alignment horizontal="center" wrapText="1"/>
      <protection locked="0"/>
    </xf>
    <xf numFmtId="0" fontId="3" fillId="0" borderId="0" xfId="1" applyFont="1"/>
    <xf numFmtId="0" fontId="3" fillId="0" borderId="0" xfId="2" applyFont="1" applyAlignment="1" applyProtection="1">
      <alignment vertical="center" wrapText="1"/>
      <protection locked="0"/>
    </xf>
    <xf numFmtId="0" fontId="3" fillId="0" borderId="0" xfId="2" applyFont="1" applyAlignment="1">
      <alignment horizontal="center" vertical="center" wrapText="1"/>
    </xf>
    <xf numFmtId="49" fontId="3" fillId="0" borderId="0" xfId="3" applyNumberFormat="1" applyFont="1" applyAlignment="1">
      <alignment horizontal="center" vertical="center" wrapText="1"/>
    </xf>
  </cellXfs>
  <cellStyles count="4">
    <cellStyle name="Normal" xfId="0" builtinId="0"/>
    <cellStyle name="Normal 2" xfId="1" xr:uid="{3418E050-E318-4AF8-88D0-208D50484000}"/>
    <cellStyle name="Normal_DPCCU Libro de Modelos" xfId="3" xr:uid="{7A6ACB6C-1475-4AEA-825C-A9CA92E92263}"/>
    <cellStyle name="Normal_Hoja1" xfId="2" xr:uid="{1432B858-1863-4E5C-9654-C40F8C615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GISTRO%20DIARIO%20DE%20GBT%20I%20ENERO%202024%20xls.xls" TargetMode="External"/><Relationship Id="rId1" Type="http://schemas.openxmlformats.org/officeDocument/2006/relationships/externalLinkPath" Target="file:///D:\REGISTRO%20DIARIO%20DE%20GBT%20I%20ENERO%202024%20x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F 1 "/>
      <sheetName val="CMF 2"/>
      <sheetName val="CMF 3"/>
      <sheetName val="CMF 4"/>
      <sheetName val="CMF 5"/>
      <sheetName val="CMF 6"/>
      <sheetName val="CMF 7"/>
      <sheetName val="CMF 8"/>
      <sheetName val="CMF 9"/>
      <sheetName val="CMF 10"/>
      <sheetName val="CMF 11"/>
      <sheetName val="A"/>
      <sheetName val="B"/>
      <sheetName val="C"/>
      <sheetName val="D"/>
      <sheetName val="CONSOLIDADO"/>
      <sheetName val="IMPRIMIR"/>
      <sheetName val="INFORMACION DEL PAMI"/>
    </sheetNames>
    <sheetDataSet>
      <sheetData sheetId="0">
        <row r="1">
          <cell r="AL1">
            <v>1210</v>
          </cell>
        </row>
        <row r="2">
          <cell r="AL2">
            <v>516</v>
          </cell>
        </row>
        <row r="3">
          <cell r="AL3">
            <v>694</v>
          </cell>
        </row>
        <row r="5">
          <cell r="AJ5">
            <v>0</v>
          </cell>
        </row>
        <row r="6">
          <cell r="AJ6">
            <v>355</v>
          </cell>
        </row>
        <row r="7">
          <cell r="AJ7">
            <v>122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1</v>
          </cell>
        </row>
        <row r="18">
          <cell r="AJ18">
            <v>364</v>
          </cell>
        </row>
        <row r="19">
          <cell r="AJ19">
            <v>285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20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641</v>
          </cell>
        </row>
        <row r="29">
          <cell r="AJ29">
            <v>3</v>
          </cell>
        </row>
        <row r="30">
          <cell r="AJ30">
            <v>2</v>
          </cell>
        </row>
        <row r="31">
          <cell r="AJ31">
            <v>631</v>
          </cell>
        </row>
        <row r="32">
          <cell r="AJ32">
            <v>6</v>
          </cell>
        </row>
        <row r="33">
          <cell r="AJ33">
            <v>1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1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30</v>
          </cell>
        </row>
        <row r="55">
          <cell r="AJ55">
            <v>0</v>
          </cell>
        </row>
        <row r="56">
          <cell r="AJ56">
            <v>30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4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2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2</v>
          </cell>
        </row>
        <row r="90">
          <cell r="AJ90">
            <v>2</v>
          </cell>
        </row>
        <row r="91">
          <cell r="AJ91">
            <v>114</v>
          </cell>
        </row>
        <row r="93">
          <cell r="AJ93">
            <v>5</v>
          </cell>
        </row>
        <row r="94">
          <cell r="AJ94">
            <v>0</v>
          </cell>
        </row>
        <row r="95">
          <cell r="AJ95">
            <v>7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2</v>
          </cell>
        </row>
        <row r="113">
          <cell r="AJ113">
            <v>1</v>
          </cell>
        </row>
        <row r="114">
          <cell r="AJ114">
            <v>1</v>
          </cell>
        </row>
        <row r="115">
          <cell r="AJ115">
            <v>1</v>
          </cell>
        </row>
        <row r="117">
          <cell r="AJ117">
            <v>0</v>
          </cell>
        </row>
        <row r="118">
          <cell r="AJ118">
            <v>7</v>
          </cell>
        </row>
        <row r="119">
          <cell r="AJ119">
            <v>1</v>
          </cell>
        </row>
        <row r="120">
          <cell r="AJ120">
            <v>0</v>
          </cell>
        </row>
        <row r="121">
          <cell r="AJ121">
            <v>4</v>
          </cell>
        </row>
        <row r="123">
          <cell r="AJ123">
            <v>12</v>
          </cell>
        </row>
        <row r="124">
          <cell r="AJ124">
            <v>6</v>
          </cell>
        </row>
        <row r="125">
          <cell r="AJ125">
            <v>2</v>
          </cell>
        </row>
        <row r="126">
          <cell r="AJ126">
            <v>1</v>
          </cell>
        </row>
        <row r="127">
          <cell r="AJ127">
            <v>7</v>
          </cell>
        </row>
        <row r="129">
          <cell r="AJ129">
            <v>12</v>
          </cell>
        </row>
        <row r="130">
          <cell r="AJ130">
            <v>8</v>
          </cell>
        </row>
        <row r="131">
          <cell r="AJ131">
            <v>5</v>
          </cell>
        </row>
        <row r="132">
          <cell r="AJ132">
            <v>4</v>
          </cell>
        </row>
        <row r="133">
          <cell r="AJ133">
            <v>1</v>
          </cell>
        </row>
        <row r="134">
          <cell r="AJ134">
            <v>2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2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17</v>
          </cell>
        </row>
        <row r="145">
          <cell r="AJ145">
            <v>0</v>
          </cell>
        </row>
        <row r="146">
          <cell r="AJ146">
            <v>2</v>
          </cell>
        </row>
        <row r="147">
          <cell r="AJ147">
            <v>0</v>
          </cell>
        </row>
        <row r="148">
          <cell r="AJ148">
            <v>0</v>
          </cell>
        </row>
        <row r="149">
          <cell r="AJ149">
            <v>0</v>
          </cell>
        </row>
        <row r="150">
          <cell r="AJ150">
            <v>10</v>
          </cell>
        </row>
        <row r="151">
          <cell r="AJ151">
            <v>6</v>
          </cell>
        </row>
        <row r="152">
          <cell r="AJ152">
            <v>126</v>
          </cell>
        </row>
        <row r="153">
          <cell r="AJ153">
            <v>2</v>
          </cell>
        </row>
        <row r="154">
          <cell r="AJ154">
            <v>6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2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2</v>
          </cell>
        </row>
        <row r="162">
          <cell r="AJ162">
            <v>0</v>
          </cell>
        </row>
        <row r="163">
          <cell r="AJ163">
            <v>0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1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5</v>
          </cell>
        </row>
        <row r="176">
          <cell r="AJ176">
            <v>0</v>
          </cell>
        </row>
        <row r="177">
          <cell r="AJ177">
            <v>2</v>
          </cell>
        </row>
        <row r="182">
          <cell r="AJ182">
            <v>0</v>
          </cell>
        </row>
        <row r="183">
          <cell r="AJ183">
            <v>0</v>
          </cell>
        </row>
        <row r="184">
          <cell r="AJ184">
            <v>0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0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0</v>
          </cell>
        </row>
        <row r="196">
          <cell r="AJ196">
            <v>0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1">
        <row r="1">
          <cell r="AL1">
            <v>1158</v>
          </cell>
        </row>
        <row r="2">
          <cell r="AL2">
            <v>536</v>
          </cell>
        </row>
        <row r="3">
          <cell r="AL3">
            <v>622</v>
          </cell>
        </row>
        <row r="5">
          <cell r="AJ5">
            <v>0</v>
          </cell>
        </row>
        <row r="6">
          <cell r="AJ6">
            <v>378</v>
          </cell>
        </row>
        <row r="7">
          <cell r="AJ7">
            <v>124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1</v>
          </cell>
        </row>
        <row r="18">
          <cell r="AJ18">
            <v>412</v>
          </cell>
        </row>
        <row r="19">
          <cell r="AJ19">
            <v>155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21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491</v>
          </cell>
        </row>
        <row r="29">
          <cell r="AJ29">
            <v>6</v>
          </cell>
        </row>
        <row r="30">
          <cell r="AJ30">
            <v>6</v>
          </cell>
        </row>
        <row r="31">
          <cell r="AJ31">
            <v>479</v>
          </cell>
        </row>
        <row r="32">
          <cell r="AJ32">
            <v>0</v>
          </cell>
        </row>
        <row r="33">
          <cell r="AJ33">
            <v>4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2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2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1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36</v>
          </cell>
        </row>
        <row r="55">
          <cell r="AJ55">
            <v>0</v>
          </cell>
        </row>
        <row r="56">
          <cell r="AJ56">
            <v>39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1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1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8</v>
          </cell>
        </row>
        <row r="83">
          <cell r="AJ83">
            <v>1</v>
          </cell>
        </row>
        <row r="84">
          <cell r="AJ84">
            <v>0</v>
          </cell>
        </row>
        <row r="85">
          <cell r="AJ85">
            <v>0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12</v>
          </cell>
        </row>
        <row r="90">
          <cell r="AJ90">
            <v>0</v>
          </cell>
        </row>
        <row r="91">
          <cell r="AJ91">
            <v>121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15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1</v>
          </cell>
        </row>
        <row r="113">
          <cell r="AJ113">
            <v>1</v>
          </cell>
        </row>
        <row r="114">
          <cell r="AJ114">
            <v>2</v>
          </cell>
        </row>
        <row r="115">
          <cell r="AJ115">
            <v>0</v>
          </cell>
        </row>
        <row r="117">
          <cell r="AJ117">
            <v>0</v>
          </cell>
        </row>
        <row r="118">
          <cell r="AJ118">
            <v>2</v>
          </cell>
        </row>
        <row r="119">
          <cell r="AJ119">
            <v>1</v>
          </cell>
        </row>
        <row r="120">
          <cell r="AJ120">
            <v>2</v>
          </cell>
        </row>
        <row r="121">
          <cell r="AJ121">
            <v>0</v>
          </cell>
        </row>
        <row r="123">
          <cell r="AJ123">
            <v>14</v>
          </cell>
        </row>
        <row r="124">
          <cell r="AJ124">
            <v>3</v>
          </cell>
        </row>
        <row r="125">
          <cell r="AJ125">
            <v>0</v>
          </cell>
        </row>
        <row r="126">
          <cell r="AJ126">
            <v>2</v>
          </cell>
        </row>
        <row r="127">
          <cell r="AJ127">
            <v>1</v>
          </cell>
        </row>
        <row r="129">
          <cell r="AJ129">
            <v>14</v>
          </cell>
        </row>
        <row r="130">
          <cell r="AJ130">
            <v>3</v>
          </cell>
        </row>
        <row r="131">
          <cell r="AJ131">
            <v>4</v>
          </cell>
        </row>
        <row r="132">
          <cell r="AJ132">
            <v>13</v>
          </cell>
        </row>
        <row r="133">
          <cell r="AJ133">
            <v>3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18</v>
          </cell>
        </row>
        <row r="145">
          <cell r="AJ145">
            <v>0</v>
          </cell>
        </row>
        <row r="146">
          <cell r="AJ146">
            <v>2</v>
          </cell>
        </row>
        <row r="147">
          <cell r="AJ147">
            <v>0</v>
          </cell>
        </row>
        <row r="148">
          <cell r="AJ148">
            <v>1</v>
          </cell>
        </row>
        <row r="149">
          <cell r="AJ149">
            <v>0</v>
          </cell>
        </row>
        <row r="150">
          <cell r="AJ150">
            <v>12</v>
          </cell>
        </row>
        <row r="151">
          <cell r="AJ151">
            <v>3</v>
          </cell>
        </row>
        <row r="152">
          <cell r="AJ152">
            <v>131</v>
          </cell>
        </row>
        <row r="153">
          <cell r="AJ153">
            <v>1</v>
          </cell>
        </row>
        <row r="154">
          <cell r="AJ154">
            <v>3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0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3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1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1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9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0</v>
          </cell>
        </row>
        <row r="183">
          <cell r="AJ183">
            <v>27</v>
          </cell>
        </row>
        <row r="184">
          <cell r="AJ184">
            <v>10</v>
          </cell>
        </row>
        <row r="186">
          <cell r="AJ186">
            <v>0</v>
          </cell>
        </row>
        <row r="187">
          <cell r="AJ187">
            <v>1</v>
          </cell>
        </row>
        <row r="188">
          <cell r="AJ188">
            <v>1</v>
          </cell>
        </row>
        <row r="189">
          <cell r="AJ189">
            <v>2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1</v>
          </cell>
        </row>
        <row r="196">
          <cell r="AJ196">
            <v>0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2">
        <row r="1">
          <cell r="AL1">
            <v>1231</v>
          </cell>
        </row>
        <row r="2">
          <cell r="AL2">
            <v>610</v>
          </cell>
        </row>
        <row r="3">
          <cell r="AL3">
            <v>621</v>
          </cell>
        </row>
        <row r="5">
          <cell r="AJ5">
            <v>10</v>
          </cell>
        </row>
        <row r="6">
          <cell r="AJ6">
            <v>337</v>
          </cell>
        </row>
        <row r="7">
          <cell r="AJ7">
            <v>206</v>
          </cell>
        </row>
        <row r="9">
          <cell r="AJ9">
            <v>0</v>
          </cell>
        </row>
        <row r="10">
          <cell r="AJ10">
            <v>1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7</v>
          </cell>
        </row>
        <row r="18">
          <cell r="AJ18">
            <v>331</v>
          </cell>
        </row>
        <row r="19">
          <cell r="AJ19">
            <v>180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11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645</v>
          </cell>
        </row>
        <row r="29">
          <cell r="AJ29">
            <v>6</v>
          </cell>
        </row>
        <row r="30">
          <cell r="AJ30">
            <v>6</v>
          </cell>
        </row>
        <row r="31">
          <cell r="AJ31">
            <v>407</v>
          </cell>
        </row>
        <row r="32">
          <cell r="AJ32">
            <v>60</v>
          </cell>
        </row>
        <row r="33">
          <cell r="AJ33">
            <v>144</v>
          </cell>
        </row>
        <row r="34">
          <cell r="AJ34">
            <v>27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1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28</v>
          </cell>
        </row>
        <row r="55">
          <cell r="AJ55">
            <v>0</v>
          </cell>
        </row>
        <row r="56">
          <cell r="AJ56">
            <v>0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1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1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1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1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1</v>
          </cell>
        </row>
        <row r="90">
          <cell r="AJ90">
            <v>1</v>
          </cell>
        </row>
        <row r="91">
          <cell r="AJ91">
            <v>34</v>
          </cell>
        </row>
        <row r="93">
          <cell r="AJ93">
            <v>5</v>
          </cell>
        </row>
        <row r="94">
          <cell r="AJ94">
            <v>0</v>
          </cell>
        </row>
        <row r="95">
          <cell r="AJ95">
            <v>12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0</v>
          </cell>
        </row>
        <row r="113">
          <cell r="AJ113">
            <v>5</v>
          </cell>
        </row>
        <row r="114">
          <cell r="AJ114">
            <v>1</v>
          </cell>
        </row>
        <row r="115">
          <cell r="AJ115">
            <v>15</v>
          </cell>
        </row>
        <row r="117">
          <cell r="AJ117">
            <v>0</v>
          </cell>
        </row>
        <row r="118">
          <cell r="AJ118">
            <v>0</v>
          </cell>
        </row>
        <row r="119">
          <cell r="AJ119">
            <v>3</v>
          </cell>
        </row>
        <row r="120">
          <cell r="AJ120">
            <v>4</v>
          </cell>
        </row>
        <row r="121">
          <cell r="AJ121">
            <v>8</v>
          </cell>
        </row>
        <row r="123">
          <cell r="AJ123">
            <v>6</v>
          </cell>
        </row>
        <row r="124">
          <cell r="AJ124">
            <v>1</v>
          </cell>
        </row>
        <row r="125">
          <cell r="AJ125">
            <v>6</v>
          </cell>
        </row>
        <row r="126">
          <cell r="AJ126">
            <v>5</v>
          </cell>
        </row>
        <row r="127">
          <cell r="AJ127">
            <v>14</v>
          </cell>
        </row>
        <row r="129">
          <cell r="AJ129">
            <v>13</v>
          </cell>
        </row>
        <row r="130">
          <cell r="AJ130">
            <v>9</v>
          </cell>
        </row>
        <row r="131">
          <cell r="AJ131">
            <v>20</v>
          </cell>
        </row>
        <row r="132">
          <cell r="AJ132">
            <v>28</v>
          </cell>
        </row>
        <row r="133">
          <cell r="AJ133">
            <v>17</v>
          </cell>
        </row>
        <row r="134">
          <cell r="AJ134">
            <v>1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1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19</v>
          </cell>
        </row>
        <row r="145">
          <cell r="AJ145">
            <v>0</v>
          </cell>
        </row>
        <row r="146">
          <cell r="AJ146">
            <v>2</v>
          </cell>
        </row>
        <row r="147">
          <cell r="AJ147">
            <v>1</v>
          </cell>
        </row>
        <row r="148">
          <cell r="AJ148">
            <v>1</v>
          </cell>
        </row>
        <row r="149">
          <cell r="AJ149">
            <v>0</v>
          </cell>
        </row>
        <row r="150">
          <cell r="AJ150">
            <v>9</v>
          </cell>
        </row>
        <row r="151">
          <cell r="AJ151">
            <v>6</v>
          </cell>
        </row>
        <row r="152">
          <cell r="AJ152">
            <v>136</v>
          </cell>
        </row>
        <row r="153">
          <cell r="AJ153">
            <v>1</v>
          </cell>
        </row>
        <row r="154">
          <cell r="AJ154">
            <v>2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0</v>
          </cell>
        </row>
        <row r="158">
          <cell r="AJ158">
            <v>2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0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1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13</v>
          </cell>
        </row>
        <row r="176">
          <cell r="AJ176">
            <v>0</v>
          </cell>
        </row>
        <row r="177">
          <cell r="AJ177">
            <v>1</v>
          </cell>
        </row>
        <row r="182">
          <cell r="AJ182">
            <v>0</v>
          </cell>
        </row>
        <row r="183">
          <cell r="AJ183">
            <v>7</v>
          </cell>
        </row>
        <row r="184">
          <cell r="AJ184">
            <v>3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1</v>
          </cell>
        </row>
        <row r="189">
          <cell r="AJ189">
            <v>0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1</v>
          </cell>
        </row>
        <row r="196">
          <cell r="AJ196">
            <v>0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3">
        <row r="1">
          <cell r="AL1">
            <v>1236</v>
          </cell>
        </row>
        <row r="2">
          <cell r="AL2">
            <v>505</v>
          </cell>
        </row>
        <row r="3">
          <cell r="AL3">
            <v>731</v>
          </cell>
        </row>
        <row r="5">
          <cell r="AJ5">
            <v>1</v>
          </cell>
        </row>
        <row r="6">
          <cell r="AJ6">
            <v>259</v>
          </cell>
        </row>
        <row r="7">
          <cell r="AJ7">
            <v>175</v>
          </cell>
        </row>
        <row r="9">
          <cell r="AJ9">
            <v>0</v>
          </cell>
        </row>
        <row r="10">
          <cell r="AJ10">
            <v>2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10</v>
          </cell>
        </row>
        <row r="18">
          <cell r="AJ18">
            <v>370</v>
          </cell>
        </row>
        <row r="19">
          <cell r="AJ19">
            <v>241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10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713</v>
          </cell>
        </row>
        <row r="29">
          <cell r="AJ29">
            <v>18</v>
          </cell>
        </row>
        <row r="30">
          <cell r="AJ30">
            <v>18</v>
          </cell>
        </row>
        <row r="31">
          <cell r="AJ31">
            <v>654</v>
          </cell>
        </row>
        <row r="32">
          <cell r="AJ32">
            <v>0</v>
          </cell>
        </row>
        <row r="33">
          <cell r="AJ33">
            <v>40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2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2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51</v>
          </cell>
        </row>
        <row r="55">
          <cell r="AJ55">
            <v>0</v>
          </cell>
        </row>
        <row r="56">
          <cell r="AJ56">
            <v>55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1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1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4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2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1</v>
          </cell>
        </row>
        <row r="90">
          <cell r="AJ90">
            <v>2</v>
          </cell>
        </row>
        <row r="91">
          <cell r="AJ91">
            <v>23</v>
          </cell>
        </row>
        <row r="93">
          <cell r="AJ93">
            <v>3</v>
          </cell>
        </row>
        <row r="94">
          <cell r="AJ94">
            <v>0</v>
          </cell>
        </row>
        <row r="95">
          <cell r="AJ95">
            <v>12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0</v>
          </cell>
        </row>
        <row r="113">
          <cell r="AJ113">
            <v>8</v>
          </cell>
        </row>
        <row r="114">
          <cell r="AJ114">
            <v>12</v>
          </cell>
        </row>
        <row r="115">
          <cell r="AJ115">
            <v>3</v>
          </cell>
        </row>
        <row r="117">
          <cell r="AJ117">
            <v>0</v>
          </cell>
        </row>
        <row r="118">
          <cell r="AJ118">
            <v>1</v>
          </cell>
        </row>
        <row r="119">
          <cell r="AJ119">
            <v>6</v>
          </cell>
        </row>
        <row r="120">
          <cell r="AJ120">
            <v>17</v>
          </cell>
        </row>
        <row r="121">
          <cell r="AJ121">
            <v>14</v>
          </cell>
        </row>
        <row r="123">
          <cell r="AJ123">
            <v>4</v>
          </cell>
        </row>
        <row r="124">
          <cell r="AJ124">
            <v>17</v>
          </cell>
        </row>
        <row r="125">
          <cell r="AJ125">
            <v>7</v>
          </cell>
        </row>
        <row r="126">
          <cell r="AJ126">
            <v>5</v>
          </cell>
        </row>
        <row r="127">
          <cell r="AJ127">
            <v>5</v>
          </cell>
        </row>
        <row r="129">
          <cell r="AJ129">
            <v>7</v>
          </cell>
        </row>
        <row r="130">
          <cell r="AJ130">
            <v>22</v>
          </cell>
        </row>
        <row r="131">
          <cell r="AJ131">
            <v>18</v>
          </cell>
        </row>
        <row r="132">
          <cell r="AJ132">
            <v>13</v>
          </cell>
        </row>
        <row r="133">
          <cell r="AJ133">
            <v>11</v>
          </cell>
        </row>
        <row r="134">
          <cell r="AJ134">
            <v>2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2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26</v>
          </cell>
        </row>
        <row r="145">
          <cell r="AJ145">
            <v>0</v>
          </cell>
        </row>
        <row r="146">
          <cell r="AJ146">
            <v>0</v>
          </cell>
        </row>
        <row r="147">
          <cell r="AJ147">
            <v>0</v>
          </cell>
        </row>
        <row r="148">
          <cell r="AJ148">
            <v>1</v>
          </cell>
        </row>
        <row r="149">
          <cell r="AJ149">
            <v>0</v>
          </cell>
        </row>
        <row r="150">
          <cell r="AJ150">
            <v>19</v>
          </cell>
        </row>
        <row r="151">
          <cell r="AJ151">
            <v>6</v>
          </cell>
        </row>
        <row r="152">
          <cell r="AJ152">
            <v>186</v>
          </cell>
        </row>
        <row r="153">
          <cell r="AJ153">
            <v>5</v>
          </cell>
        </row>
        <row r="154">
          <cell r="AJ154">
            <v>1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14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1</v>
          </cell>
        </row>
        <row r="161">
          <cell r="AJ161">
            <v>4</v>
          </cell>
        </row>
        <row r="162">
          <cell r="AJ162">
            <v>0</v>
          </cell>
        </row>
        <row r="163">
          <cell r="AJ163">
            <v>0</v>
          </cell>
        </row>
        <row r="164">
          <cell r="AJ164">
            <v>1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0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0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0</v>
          </cell>
        </row>
        <row r="183">
          <cell r="AJ183">
            <v>19</v>
          </cell>
        </row>
        <row r="184">
          <cell r="AJ184">
            <v>14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1</v>
          </cell>
        </row>
        <row r="189">
          <cell r="AJ189">
            <v>5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3</v>
          </cell>
        </row>
        <row r="196">
          <cell r="AJ196">
            <v>1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4">
        <row r="1">
          <cell r="AL1">
            <v>852</v>
          </cell>
        </row>
        <row r="2">
          <cell r="AL2">
            <v>273</v>
          </cell>
        </row>
        <row r="3">
          <cell r="AL3">
            <v>579</v>
          </cell>
        </row>
        <row r="5">
          <cell r="AJ5">
            <v>1</v>
          </cell>
        </row>
        <row r="6">
          <cell r="AJ6">
            <v>129</v>
          </cell>
        </row>
        <row r="7">
          <cell r="AJ7">
            <v>73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4</v>
          </cell>
        </row>
        <row r="18">
          <cell r="AJ18">
            <v>372</v>
          </cell>
        </row>
        <row r="19">
          <cell r="AJ19">
            <v>148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20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290</v>
          </cell>
        </row>
        <row r="29">
          <cell r="AJ29">
            <v>21</v>
          </cell>
        </row>
        <row r="30">
          <cell r="AJ30">
            <v>7</v>
          </cell>
        </row>
        <row r="31">
          <cell r="AJ31">
            <v>235</v>
          </cell>
        </row>
        <row r="32">
          <cell r="AJ32">
            <v>1</v>
          </cell>
        </row>
        <row r="33">
          <cell r="AJ33">
            <v>33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1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0</v>
          </cell>
        </row>
        <row r="55">
          <cell r="AJ55">
            <v>0</v>
          </cell>
        </row>
        <row r="56">
          <cell r="AJ56">
            <v>7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2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2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0</v>
          </cell>
        </row>
        <row r="90">
          <cell r="AJ90">
            <v>2</v>
          </cell>
        </row>
        <row r="91">
          <cell r="AJ91">
            <v>1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0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2</v>
          </cell>
        </row>
        <row r="112">
          <cell r="AJ112">
            <v>2</v>
          </cell>
        </row>
        <row r="113">
          <cell r="AJ113">
            <v>4</v>
          </cell>
        </row>
        <row r="114">
          <cell r="AJ114">
            <v>0</v>
          </cell>
        </row>
        <row r="115">
          <cell r="AJ115">
            <v>6</v>
          </cell>
        </row>
        <row r="117">
          <cell r="AJ117">
            <v>1</v>
          </cell>
        </row>
        <row r="118">
          <cell r="AJ118">
            <v>0</v>
          </cell>
        </row>
        <row r="119">
          <cell r="AJ119">
            <v>1</v>
          </cell>
        </row>
        <row r="120">
          <cell r="AJ120">
            <v>2</v>
          </cell>
        </row>
        <row r="121">
          <cell r="AJ121">
            <v>0</v>
          </cell>
        </row>
        <row r="123">
          <cell r="AJ123">
            <v>21</v>
          </cell>
        </row>
        <row r="124">
          <cell r="AJ124">
            <v>5</v>
          </cell>
        </row>
        <row r="125">
          <cell r="AJ125">
            <v>12</v>
          </cell>
        </row>
        <row r="126">
          <cell r="AJ126">
            <v>6</v>
          </cell>
        </row>
        <row r="127">
          <cell r="AJ127">
            <v>8</v>
          </cell>
        </row>
        <row r="129">
          <cell r="AJ129">
            <v>6</v>
          </cell>
        </row>
        <row r="130">
          <cell r="AJ130">
            <v>1</v>
          </cell>
        </row>
        <row r="131">
          <cell r="AJ131">
            <v>9</v>
          </cell>
        </row>
        <row r="132">
          <cell r="AJ132">
            <v>11</v>
          </cell>
        </row>
        <row r="133">
          <cell r="AJ133">
            <v>24</v>
          </cell>
        </row>
        <row r="134">
          <cell r="AJ134">
            <v>2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2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15</v>
          </cell>
        </row>
        <row r="145">
          <cell r="AJ145">
            <v>0</v>
          </cell>
        </row>
        <row r="146">
          <cell r="AJ146">
            <v>0</v>
          </cell>
        </row>
        <row r="147">
          <cell r="AJ147">
            <v>3</v>
          </cell>
        </row>
        <row r="148">
          <cell r="AJ148">
            <v>0</v>
          </cell>
        </row>
        <row r="149">
          <cell r="AJ149">
            <v>1</v>
          </cell>
        </row>
        <row r="150">
          <cell r="AJ150">
            <v>5</v>
          </cell>
        </row>
        <row r="151">
          <cell r="AJ151">
            <v>3</v>
          </cell>
        </row>
        <row r="152">
          <cell r="AJ152">
            <v>86</v>
          </cell>
        </row>
        <row r="153">
          <cell r="AJ153">
            <v>0</v>
          </cell>
        </row>
        <row r="154">
          <cell r="AJ154">
            <v>6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2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0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1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3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0</v>
          </cell>
        </row>
        <row r="183">
          <cell r="AJ183">
            <v>36</v>
          </cell>
        </row>
        <row r="184">
          <cell r="AJ184">
            <v>18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1</v>
          </cell>
        </row>
        <row r="189">
          <cell r="AJ189">
            <v>0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2</v>
          </cell>
        </row>
        <row r="195">
          <cell r="AJ195">
            <v>0</v>
          </cell>
        </row>
        <row r="196">
          <cell r="AJ196">
            <v>4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5">
        <row r="1">
          <cell r="AL1">
            <v>1315</v>
          </cell>
        </row>
        <row r="2">
          <cell r="AL2">
            <v>565</v>
          </cell>
        </row>
        <row r="3">
          <cell r="AL3">
            <v>750</v>
          </cell>
        </row>
        <row r="5">
          <cell r="AJ5">
            <v>1</v>
          </cell>
        </row>
        <row r="6">
          <cell r="AJ6">
            <v>351</v>
          </cell>
        </row>
        <row r="7">
          <cell r="AJ7">
            <v>148</v>
          </cell>
        </row>
        <row r="9">
          <cell r="AJ9">
            <v>1</v>
          </cell>
        </row>
        <row r="10">
          <cell r="AJ10">
            <v>11</v>
          </cell>
        </row>
        <row r="11">
          <cell r="AJ11">
            <v>2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5</v>
          </cell>
        </row>
        <row r="18">
          <cell r="AJ18">
            <v>452</v>
          </cell>
        </row>
        <row r="19">
          <cell r="AJ19">
            <v>215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18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573</v>
          </cell>
        </row>
        <row r="29">
          <cell r="AJ29">
            <v>6</v>
          </cell>
        </row>
        <row r="30">
          <cell r="AJ30">
            <v>6</v>
          </cell>
        </row>
        <row r="31">
          <cell r="AJ31">
            <v>369</v>
          </cell>
        </row>
        <row r="32">
          <cell r="AJ32">
            <v>76</v>
          </cell>
        </row>
        <row r="33">
          <cell r="AJ33">
            <v>120</v>
          </cell>
        </row>
        <row r="34">
          <cell r="AJ34">
            <v>1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1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52</v>
          </cell>
        </row>
        <row r="55">
          <cell r="AJ55">
            <v>0</v>
          </cell>
        </row>
        <row r="56">
          <cell r="AJ56">
            <v>65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1</v>
          </cell>
        </row>
        <row r="80">
          <cell r="AJ80">
            <v>0</v>
          </cell>
        </row>
        <row r="81">
          <cell r="AJ81">
            <v>4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0</v>
          </cell>
        </row>
        <row r="87">
          <cell r="AJ87">
            <v>1</v>
          </cell>
        </row>
        <row r="88">
          <cell r="AJ88">
            <v>0</v>
          </cell>
        </row>
        <row r="89">
          <cell r="AJ89">
            <v>2</v>
          </cell>
        </row>
        <row r="90">
          <cell r="AJ90">
            <v>0</v>
          </cell>
        </row>
        <row r="91">
          <cell r="AJ91">
            <v>23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3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2</v>
          </cell>
        </row>
        <row r="113">
          <cell r="AJ113">
            <v>4</v>
          </cell>
        </row>
        <row r="114">
          <cell r="AJ114">
            <v>6</v>
          </cell>
        </row>
        <row r="115">
          <cell r="AJ115">
            <v>3</v>
          </cell>
        </row>
        <row r="117">
          <cell r="AJ117">
            <v>0</v>
          </cell>
        </row>
        <row r="118">
          <cell r="AJ118">
            <v>0</v>
          </cell>
        </row>
        <row r="119">
          <cell r="AJ119">
            <v>5</v>
          </cell>
        </row>
        <row r="120">
          <cell r="AJ120">
            <v>7</v>
          </cell>
        </row>
        <row r="121">
          <cell r="AJ121">
            <v>7</v>
          </cell>
        </row>
        <row r="123">
          <cell r="AJ123">
            <v>5</v>
          </cell>
        </row>
        <row r="124">
          <cell r="AJ124">
            <v>2</v>
          </cell>
        </row>
        <row r="125">
          <cell r="AJ125">
            <v>8</v>
          </cell>
        </row>
        <row r="126">
          <cell r="AJ126">
            <v>12</v>
          </cell>
        </row>
        <row r="127">
          <cell r="AJ127">
            <v>4</v>
          </cell>
        </row>
        <row r="129">
          <cell r="AJ129">
            <v>4</v>
          </cell>
        </row>
        <row r="130">
          <cell r="AJ130">
            <v>6</v>
          </cell>
        </row>
        <row r="131">
          <cell r="AJ131">
            <v>14</v>
          </cell>
        </row>
        <row r="132">
          <cell r="AJ132">
            <v>20</v>
          </cell>
        </row>
        <row r="133">
          <cell r="AJ133">
            <v>12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18</v>
          </cell>
        </row>
        <row r="145">
          <cell r="AJ145">
            <v>0</v>
          </cell>
        </row>
        <row r="146">
          <cell r="AJ146">
            <v>2</v>
          </cell>
        </row>
        <row r="147">
          <cell r="AJ147">
            <v>0</v>
          </cell>
        </row>
        <row r="148">
          <cell r="AJ148">
            <v>1</v>
          </cell>
        </row>
        <row r="149">
          <cell r="AJ149">
            <v>0</v>
          </cell>
        </row>
        <row r="150">
          <cell r="AJ150">
            <v>10</v>
          </cell>
        </row>
        <row r="151">
          <cell r="AJ151">
            <v>3</v>
          </cell>
        </row>
        <row r="152">
          <cell r="AJ152">
            <v>113</v>
          </cell>
        </row>
        <row r="153">
          <cell r="AJ153">
            <v>0</v>
          </cell>
        </row>
        <row r="154">
          <cell r="AJ154">
            <v>5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2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2</v>
          </cell>
        </row>
        <row r="161">
          <cell r="AJ161">
            <v>1</v>
          </cell>
        </row>
        <row r="162">
          <cell r="AJ162">
            <v>0</v>
          </cell>
        </row>
        <row r="163">
          <cell r="AJ163">
            <v>0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0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6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2</v>
          </cell>
        </row>
        <row r="183">
          <cell r="AJ183">
            <v>22</v>
          </cell>
        </row>
        <row r="184">
          <cell r="AJ184">
            <v>16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0</v>
          </cell>
        </row>
        <row r="190">
          <cell r="AJ190">
            <v>1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4</v>
          </cell>
        </row>
        <row r="196">
          <cell r="AJ196">
            <v>3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6">
        <row r="1">
          <cell r="AL1">
            <v>1204</v>
          </cell>
        </row>
        <row r="2">
          <cell r="AL2">
            <v>538</v>
          </cell>
        </row>
        <row r="3">
          <cell r="AL3">
            <v>666</v>
          </cell>
        </row>
        <row r="5">
          <cell r="AJ5">
            <v>7</v>
          </cell>
        </row>
        <row r="6">
          <cell r="AJ6">
            <v>289</v>
          </cell>
        </row>
        <row r="7">
          <cell r="AJ7">
            <v>183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9</v>
          </cell>
        </row>
        <row r="18">
          <cell r="AJ18">
            <v>358</v>
          </cell>
        </row>
        <row r="19">
          <cell r="AJ19">
            <v>221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11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629</v>
          </cell>
        </row>
        <row r="29">
          <cell r="AJ29">
            <v>0</v>
          </cell>
        </row>
        <row r="30">
          <cell r="AJ30">
            <v>0</v>
          </cell>
        </row>
        <row r="31">
          <cell r="AJ31">
            <v>629</v>
          </cell>
        </row>
        <row r="32">
          <cell r="AJ32">
            <v>0</v>
          </cell>
        </row>
        <row r="33">
          <cell r="AJ33">
            <v>0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35</v>
          </cell>
        </row>
        <row r="55">
          <cell r="AJ55">
            <v>0</v>
          </cell>
        </row>
        <row r="56">
          <cell r="AJ56">
            <v>31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5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0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5</v>
          </cell>
        </row>
        <row r="90">
          <cell r="AJ90">
            <v>0</v>
          </cell>
        </row>
        <row r="91">
          <cell r="AJ91">
            <v>40</v>
          </cell>
        </row>
        <row r="93">
          <cell r="AJ93">
            <v>0</v>
          </cell>
        </row>
        <row r="94">
          <cell r="AJ94">
            <v>1</v>
          </cell>
        </row>
        <row r="95">
          <cell r="AJ95">
            <v>7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1</v>
          </cell>
        </row>
        <row r="112">
          <cell r="AJ112">
            <v>2</v>
          </cell>
        </row>
        <row r="113">
          <cell r="AJ113">
            <v>8</v>
          </cell>
        </row>
        <row r="114">
          <cell r="AJ114">
            <v>9</v>
          </cell>
        </row>
        <row r="115">
          <cell r="AJ115">
            <v>4</v>
          </cell>
        </row>
        <row r="117">
          <cell r="AJ117">
            <v>1</v>
          </cell>
        </row>
        <row r="118">
          <cell r="AJ118">
            <v>2</v>
          </cell>
        </row>
        <row r="119">
          <cell r="AJ119">
            <v>3</v>
          </cell>
        </row>
        <row r="120">
          <cell r="AJ120">
            <v>8</v>
          </cell>
        </row>
        <row r="121">
          <cell r="AJ121">
            <v>7</v>
          </cell>
        </row>
        <row r="123">
          <cell r="AJ123">
            <v>7</v>
          </cell>
        </row>
        <row r="124">
          <cell r="AJ124">
            <v>4</v>
          </cell>
        </row>
        <row r="125">
          <cell r="AJ125">
            <v>7</v>
          </cell>
        </row>
        <row r="126">
          <cell r="AJ126">
            <v>9</v>
          </cell>
        </row>
        <row r="127">
          <cell r="AJ127">
            <v>3</v>
          </cell>
        </row>
        <row r="129">
          <cell r="AJ129">
            <v>5</v>
          </cell>
        </row>
        <row r="130">
          <cell r="AJ130">
            <v>11</v>
          </cell>
        </row>
        <row r="131">
          <cell r="AJ131">
            <v>10</v>
          </cell>
        </row>
        <row r="132">
          <cell r="AJ132">
            <v>21</v>
          </cell>
        </row>
        <row r="133">
          <cell r="AJ133">
            <v>5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1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19</v>
          </cell>
        </row>
        <row r="145">
          <cell r="AJ145">
            <v>0</v>
          </cell>
        </row>
        <row r="146">
          <cell r="AJ146">
            <v>0</v>
          </cell>
        </row>
        <row r="147">
          <cell r="AJ147">
            <v>2</v>
          </cell>
        </row>
        <row r="148">
          <cell r="AJ148">
            <v>0</v>
          </cell>
        </row>
        <row r="149">
          <cell r="AJ149">
            <v>0</v>
          </cell>
        </row>
        <row r="150">
          <cell r="AJ150">
            <v>7</v>
          </cell>
        </row>
        <row r="151">
          <cell r="AJ151">
            <v>10</v>
          </cell>
        </row>
        <row r="152">
          <cell r="AJ152">
            <v>142</v>
          </cell>
        </row>
        <row r="153">
          <cell r="AJ153">
            <v>0</v>
          </cell>
        </row>
        <row r="154">
          <cell r="AJ154">
            <v>0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2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4</v>
          </cell>
        </row>
        <row r="162">
          <cell r="AJ162">
            <v>0</v>
          </cell>
        </row>
        <row r="163">
          <cell r="AJ163">
            <v>3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0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10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0</v>
          </cell>
        </row>
        <row r="183">
          <cell r="AJ183">
            <v>7</v>
          </cell>
        </row>
        <row r="184">
          <cell r="AJ184">
            <v>3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0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0</v>
          </cell>
        </row>
        <row r="196">
          <cell r="AJ196">
            <v>1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7">
        <row r="1">
          <cell r="AL1">
            <v>1074</v>
          </cell>
        </row>
        <row r="2">
          <cell r="AL2">
            <v>383</v>
          </cell>
        </row>
        <row r="3">
          <cell r="AL3">
            <v>691</v>
          </cell>
        </row>
        <row r="5">
          <cell r="AJ5">
            <v>2</v>
          </cell>
        </row>
        <row r="6">
          <cell r="AJ6">
            <v>202</v>
          </cell>
        </row>
        <row r="7">
          <cell r="AJ7">
            <v>132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1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10</v>
          </cell>
        </row>
        <row r="18">
          <cell r="AJ18">
            <v>361</v>
          </cell>
        </row>
        <row r="19">
          <cell r="AJ19">
            <v>191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22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526</v>
          </cell>
        </row>
        <row r="29">
          <cell r="AJ29">
            <v>1</v>
          </cell>
        </row>
        <row r="30">
          <cell r="AJ30">
            <v>1</v>
          </cell>
        </row>
        <row r="31">
          <cell r="AJ31">
            <v>438</v>
          </cell>
        </row>
        <row r="32">
          <cell r="AJ32">
            <v>0</v>
          </cell>
        </row>
        <row r="33">
          <cell r="AJ33">
            <v>82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5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43</v>
          </cell>
        </row>
        <row r="55">
          <cell r="AJ55">
            <v>0</v>
          </cell>
        </row>
        <row r="56">
          <cell r="AJ56">
            <v>59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1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7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2</v>
          </cell>
        </row>
        <row r="90">
          <cell r="AJ90">
            <v>2</v>
          </cell>
        </row>
        <row r="91">
          <cell r="AJ91">
            <v>31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13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4</v>
          </cell>
        </row>
        <row r="113">
          <cell r="AJ113">
            <v>3</v>
          </cell>
        </row>
        <row r="114">
          <cell r="AJ114">
            <v>4</v>
          </cell>
        </row>
        <row r="115">
          <cell r="AJ115">
            <v>2</v>
          </cell>
        </row>
        <row r="117">
          <cell r="AJ117">
            <v>0</v>
          </cell>
        </row>
        <row r="118">
          <cell r="AJ118">
            <v>1</v>
          </cell>
        </row>
        <row r="119">
          <cell r="AJ119">
            <v>4</v>
          </cell>
        </row>
        <row r="120">
          <cell r="AJ120">
            <v>17</v>
          </cell>
        </row>
        <row r="121">
          <cell r="AJ121">
            <v>17</v>
          </cell>
        </row>
        <row r="123">
          <cell r="AJ123">
            <v>11</v>
          </cell>
        </row>
        <row r="124">
          <cell r="AJ124">
            <v>5</v>
          </cell>
        </row>
        <row r="125">
          <cell r="AJ125">
            <v>6</v>
          </cell>
        </row>
        <row r="126">
          <cell r="AJ126">
            <v>1</v>
          </cell>
        </row>
        <row r="127">
          <cell r="AJ127">
            <v>2</v>
          </cell>
        </row>
        <row r="129">
          <cell r="AJ129">
            <v>25</v>
          </cell>
        </row>
        <row r="130">
          <cell r="AJ130">
            <v>13</v>
          </cell>
        </row>
        <row r="131">
          <cell r="AJ131">
            <v>14</v>
          </cell>
        </row>
        <row r="132">
          <cell r="AJ132">
            <v>18</v>
          </cell>
        </row>
        <row r="133">
          <cell r="AJ133">
            <v>18</v>
          </cell>
        </row>
        <row r="134">
          <cell r="AJ134">
            <v>2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2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2</v>
          </cell>
        </row>
        <row r="141">
          <cell r="AJ141">
            <v>0</v>
          </cell>
        </row>
        <row r="143">
          <cell r="AJ143">
            <v>19</v>
          </cell>
        </row>
        <row r="145">
          <cell r="AJ145">
            <v>0</v>
          </cell>
        </row>
        <row r="146">
          <cell r="AJ146">
            <v>1</v>
          </cell>
        </row>
        <row r="147">
          <cell r="AJ147">
            <v>1</v>
          </cell>
        </row>
        <row r="148">
          <cell r="AJ148">
            <v>2</v>
          </cell>
        </row>
        <row r="149">
          <cell r="AJ149">
            <v>0</v>
          </cell>
        </row>
        <row r="150">
          <cell r="AJ150">
            <v>7</v>
          </cell>
        </row>
        <row r="151">
          <cell r="AJ151">
            <v>7</v>
          </cell>
        </row>
        <row r="152">
          <cell r="AJ152">
            <v>122</v>
          </cell>
        </row>
        <row r="153">
          <cell r="AJ153">
            <v>0</v>
          </cell>
        </row>
        <row r="154">
          <cell r="AJ154">
            <v>3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1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1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2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2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9</v>
          </cell>
        </row>
        <row r="176">
          <cell r="AJ176">
            <v>0</v>
          </cell>
        </row>
        <row r="177">
          <cell r="AJ177">
            <v>1</v>
          </cell>
        </row>
        <row r="182">
          <cell r="AJ182">
            <v>5</v>
          </cell>
        </row>
        <row r="183">
          <cell r="AJ183">
            <v>15</v>
          </cell>
        </row>
        <row r="184">
          <cell r="AJ184">
            <v>5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7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2</v>
          </cell>
        </row>
        <row r="196">
          <cell r="AJ196">
            <v>1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8">
        <row r="1">
          <cell r="AL1">
            <v>1141</v>
          </cell>
        </row>
        <row r="2">
          <cell r="AL2">
            <v>492</v>
          </cell>
        </row>
        <row r="3">
          <cell r="AL3">
            <v>649</v>
          </cell>
        </row>
        <row r="5">
          <cell r="AJ5">
            <v>2</v>
          </cell>
        </row>
        <row r="6">
          <cell r="AJ6">
            <v>306</v>
          </cell>
        </row>
        <row r="7">
          <cell r="AJ7">
            <v>164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6</v>
          </cell>
        </row>
        <row r="18">
          <cell r="AJ18">
            <v>451</v>
          </cell>
        </row>
        <row r="19">
          <cell r="AJ19">
            <v>175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10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467</v>
          </cell>
        </row>
        <row r="29">
          <cell r="AJ29">
            <v>26</v>
          </cell>
        </row>
        <row r="30">
          <cell r="AJ30">
            <v>4</v>
          </cell>
        </row>
        <row r="31">
          <cell r="AJ31">
            <v>443</v>
          </cell>
        </row>
        <row r="32">
          <cell r="AJ32">
            <v>0</v>
          </cell>
        </row>
        <row r="33">
          <cell r="AJ33">
            <v>2</v>
          </cell>
        </row>
        <row r="34">
          <cell r="AJ34">
            <v>1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1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10</v>
          </cell>
        </row>
        <row r="55">
          <cell r="AJ55">
            <v>0</v>
          </cell>
        </row>
        <row r="56">
          <cell r="AJ56">
            <v>0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1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1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3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1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0</v>
          </cell>
        </row>
        <row r="90">
          <cell r="AJ90">
            <v>0</v>
          </cell>
        </row>
        <row r="91">
          <cell r="AJ91">
            <v>3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3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2</v>
          </cell>
        </row>
        <row r="113">
          <cell r="AJ113">
            <v>1</v>
          </cell>
        </row>
        <row r="114">
          <cell r="AJ114">
            <v>0</v>
          </cell>
        </row>
        <row r="115">
          <cell r="AJ115">
            <v>0</v>
          </cell>
        </row>
        <row r="117">
          <cell r="AJ117">
            <v>0</v>
          </cell>
        </row>
        <row r="118">
          <cell r="AJ118">
            <v>0</v>
          </cell>
        </row>
        <row r="119">
          <cell r="AJ119">
            <v>0</v>
          </cell>
        </row>
        <row r="120">
          <cell r="AJ120">
            <v>2</v>
          </cell>
        </row>
        <row r="121">
          <cell r="AJ121">
            <v>0</v>
          </cell>
        </row>
        <row r="123">
          <cell r="AJ123">
            <v>4</v>
          </cell>
        </row>
        <row r="124">
          <cell r="AJ124">
            <v>2</v>
          </cell>
        </row>
        <row r="125">
          <cell r="AJ125">
            <v>1</v>
          </cell>
        </row>
        <row r="126">
          <cell r="AJ126">
            <v>0</v>
          </cell>
        </row>
        <row r="127">
          <cell r="AJ127">
            <v>5</v>
          </cell>
        </row>
        <row r="129">
          <cell r="AJ129">
            <v>0</v>
          </cell>
        </row>
        <row r="130">
          <cell r="AJ130">
            <v>1</v>
          </cell>
        </row>
        <row r="131">
          <cell r="AJ131">
            <v>1</v>
          </cell>
        </row>
        <row r="132">
          <cell r="AJ132">
            <v>1</v>
          </cell>
        </row>
        <row r="133">
          <cell r="AJ133">
            <v>12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21</v>
          </cell>
        </row>
        <row r="145">
          <cell r="AJ145">
            <v>0</v>
          </cell>
        </row>
        <row r="146">
          <cell r="AJ146">
            <v>1</v>
          </cell>
        </row>
        <row r="147">
          <cell r="AJ147">
            <v>1</v>
          </cell>
        </row>
        <row r="148">
          <cell r="AJ148">
            <v>0</v>
          </cell>
        </row>
        <row r="149">
          <cell r="AJ149">
            <v>0</v>
          </cell>
        </row>
        <row r="150">
          <cell r="AJ150">
            <v>15</v>
          </cell>
        </row>
        <row r="151">
          <cell r="AJ151">
            <v>2</v>
          </cell>
        </row>
        <row r="152">
          <cell r="AJ152">
            <v>125</v>
          </cell>
        </row>
        <row r="153">
          <cell r="AJ153">
            <v>3</v>
          </cell>
        </row>
        <row r="154">
          <cell r="AJ154">
            <v>2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1</v>
          </cell>
        </row>
        <row r="158">
          <cell r="AJ158">
            <v>1</v>
          </cell>
        </row>
        <row r="159">
          <cell r="AJ159">
            <v>0</v>
          </cell>
        </row>
        <row r="160">
          <cell r="AJ160">
            <v>1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4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0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7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1</v>
          </cell>
        </row>
        <row r="183">
          <cell r="AJ183">
            <v>34</v>
          </cell>
        </row>
        <row r="184">
          <cell r="AJ184">
            <v>6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1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0</v>
          </cell>
        </row>
        <row r="196">
          <cell r="AJ196">
            <v>1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9">
        <row r="1">
          <cell r="AL1">
            <v>1125</v>
          </cell>
        </row>
        <row r="2">
          <cell r="AL2">
            <v>462</v>
          </cell>
        </row>
        <row r="3">
          <cell r="AL3">
            <v>663</v>
          </cell>
        </row>
        <row r="5">
          <cell r="AJ5">
            <v>2</v>
          </cell>
        </row>
        <row r="6">
          <cell r="AJ6">
            <v>299</v>
          </cell>
        </row>
        <row r="7">
          <cell r="AJ7">
            <v>131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12</v>
          </cell>
        </row>
        <row r="18">
          <cell r="AJ18">
            <v>347</v>
          </cell>
        </row>
        <row r="19">
          <cell r="AJ19">
            <v>242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30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462</v>
          </cell>
        </row>
        <row r="29">
          <cell r="AJ29">
            <v>0</v>
          </cell>
        </row>
        <row r="30">
          <cell r="AJ30">
            <v>0</v>
          </cell>
        </row>
        <row r="31">
          <cell r="AJ31">
            <v>311</v>
          </cell>
        </row>
        <row r="32">
          <cell r="AJ32">
            <v>77</v>
          </cell>
        </row>
        <row r="33">
          <cell r="AJ33">
            <v>71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3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2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1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37</v>
          </cell>
        </row>
        <row r="55">
          <cell r="AJ55">
            <v>0</v>
          </cell>
        </row>
        <row r="56">
          <cell r="AJ56">
            <v>31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4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0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6</v>
          </cell>
        </row>
        <row r="90">
          <cell r="AJ90">
            <v>0</v>
          </cell>
        </row>
        <row r="91">
          <cell r="AJ91">
            <v>17</v>
          </cell>
        </row>
        <row r="93">
          <cell r="AJ93">
            <v>2</v>
          </cell>
        </row>
        <row r="94">
          <cell r="AJ94">
            <v>0</v>
          </cell>
        </row>
        <row r="95">
          <cell r="AJ95">
            <v>17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1</v>
          </cell>
        </row>
        <row r="113">
          <cell r="AJ113">
            <v>3</v>
          </cell>
        </row>
        <row r="114">
          <cell r="AJ114">
            <v>0</v>
          </cell>
        </row>
        <row r="115">
          <cell r="AJ115">
            <v>3</v>
          </cell>
        </row>
        <row r="117">
          <cell r="AJ117">
            <v>0</v>
          </cell>
        </row>
        <row r="118">
          <cell r="AJ118">
            <v>0</v>
          </cell>
        </row>
        <row r="119">
          <cell r="AJ119">
            <v>1</v>
          </cell>
        </row>
        <row r="120">
          <cell r="AJ120">
            <v>4</v>
          </cell>
        </row>
        <row r="121">
          <cell r="AJ121">
            <v>4</v>
          </cell>
        </row>
        <row r="123">
          <cell r="AJ123">
            <v>3</v>
          </cell>
        </row>
        <row r="124">
          <cell r="AJ124">
            <v>2</v>
          </cell>
        </row>
        <row r="125">
          <cell r="AJ125">
            <v>2</v>
          </cell>
        </row>
        <row r="126">
          <cell r="AJ126">
            <v>3</v>
          </cell>
        </row>
        <row r="127">
          <cell r="AJ127">
            <v>9</v>
          </cell>
        </row>
        <row r="129">
          <cell r="AJ129">
            <v>6</v>
          </cell>
        </row>
        <row r="130">
          <cell r="AJ130">
            <v>5</v>
          </cell>
        </row>
        <row r="131">
          <cell r="AJ131">
            <v>11</v>
          </cell>
        </row>
        <row r="132">
          <cell r="AJ132">
            <v>15</v>
          </cell>
        </row>
        <row r="133">
          <cell r="AJ133">
            <v>10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21</v>
          </cell>
        </row>
        <row r="145">
          <cell r="AJ145">
            <v>0</v>
          </cell>
        </row>
        <row r="146">
          <cell r="AJ146">
            <v>0</v>
          </cell>
        </row>
        <row r="147">
          <cell r="AJ147">
            <v>1</v>
          </cell>
        </row>
        <row r="148">
          <cell r="AJ148">
            <v>0</v>
          </cell>
        </row>
        <row r="149">
          <cell r="AJ149">
            <v>1</v>
          </cell>
        </row>
        <row r="150">
          <cell r="AJ150">
            <v>9</v>
          </cell>
        </row>
        <row r="151">
          <cell r="AJ151">
            <v>6</v>
          </cell>
        </row>
        <row r="152">
          <cell r="AJ152">
            <v>119</v>
          </cell>
        </row>
        <row r="153">
          <cell r="AJ153">
            <v>0</v>
          </cell>
        </row>
        <row r="154">
          <cell r="AJ154">
            <v>1</v>
          </cell>
        </row>
        <row r="155">
          <cell r="AJ155">
            <v>0</v>
          </cell>
        </row>
        <row r="156">
          <cell r="AJ156">
            <v>0</v>
          </cell>
        </row>
        <row r="157">
          <cell r="AJ157">
            <v>5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1</v>
          </cell>
        </row>
        <row r="162">
          <cell r="AJ162">
            <v>0</v>
          </cell>
        </row>
        <row r="163">
          <cell r="AJ163">
            <v>1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0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9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8</v>
          </cell>
        </row>
        <row r="183">
          <cell r="AJ183">
            <v>22</v>
          </cell>
        </row>
        <row r="184">
          <cell r="AJ184">
            <v>5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1</v>
          </cell>
        </row>
        <row r="189">
          <cell r="AJ189">
            <v>0</v>
          </cell>
        </row>
        <row r="190">
          <cell r="AJ190">
            <v>1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0</v>
          </cell>
        </row>
        <row r="196">
          <cell r="AJ196">
            <v>0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10">
        <row r="1">
          <cell r="AL1">
            <v>1016</v>
          </cell>
        </row>
        <row r="2">
          <cell r="AL2">
            <v>437</v>
          </cell>
        </row>
        <row r="3">
          <cell r="AL3">
            <v>579</v>
          </cell>
        </row>
        <row r="5">
          <cell r="AJ5">
            <v>8</v>
          </cell>
        </row>
        <row r="6">
          <cell r="AJ6">
            <v>270</v>
          </cell>
        </row>
        <row r="7">
          <cell r="AJ7">
            <v>117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7">
          <cell r="AJ17">
            <v>5</v>
          </cell>
        </row>
        <row r="18">
          <cell r="AJ18">
            <v>328</v>
          </cell>
        </row>
        <row r="19">
          <cell r="AJ19">
            <v>182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9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410</v>
          </cell>
        </row>
        <row r="29">
          <cell r="AJ29">
            <v>3</v>
          </cell>
        </row>
        <row r="30">
          <cell r="AJ30">
            <v>2</v>
          </cell>
        </row>
        <row r="31">
          <cell r="AJ31">
            <v>391</v>
          </cell>
        </row>
        <row r="32">
          <cell r="AJ32">
            <v>0</v>
          </cell>
        </row>
        <row r="33">
          <cell r="AJ33">
            <v>17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6</v>
          </cell>
        </row>
        <row r="54">
          <cell r="AJ54">
            <v>25</v>
          </cell>
        </row>
        <row r="55">
          <cell r="AJ55">
            <v>0</v>
          </cell>
        </row>
        <row r="56">
          <cell r="AJ56">
            <v>34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4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2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5</v>
          </cell>
        </row>
        <row r="90">
          <cell r="AJ90">
            <v>0</v>
          </cell>
        </row>
        <row r="91">
          <cell r="AJ91">
            <v>31</v>
          </cell>
        </row>
        <row r="93">
          <cell r="AJ93">
            <v>4</v>
          </cell>
        </row>
        <row r="94">
          <cell r="AJ94">
            <v>0</v>
          </cell>
        </row>
        <row r="95">
          <cell r="AJ95">
            <v>33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11">
          <cell r="AJ111">
            <v>0</v>
          </cell>
        </row>
        <row r="112">
          <cell r="AJ112">
            <v>0</v>
          </cell>
        </row>
        <row r="113">
          <cell r="AJ113">
            <v>2</v>
          </cell>
        </row>
        <row r="114">
          <cell r="AJ114">
            <v>0</v>
          </cell>
        </row>
        <row r="115">
          <cell r="AJ115">
            <v>8</v>
          </cell>
        </row>
        <row r="117">
          <cell r="AJ117">
            <v>0</v>
          </cell>
        </row>
        <row r="118">
          <cell r="AJ118">
            <v>1</v>
          </cell>
        </row>
        <row r="119">
          <cell r="AJ119">
            <v>4</v>
          </cell>
        </row>
        <row r="120">
          <cell r="AJ120">
            <v>5</v>
          </cell>
        </row>
        <row r="121">
          <cell r="AJ121">
            <v>6</v>
          </cell>
        </row>
        <row r="123">
          <cell r="AJ123">
            <v>7</v>
          </cell>
        </row>
        <row r="124">
          <cell r="AJ124">
            <v>2</v>
          </cell>
        </row>
        <row r="125">
          <cell r="AJ125">
            <v>5</v>
          </cell>
        </row>
        <row r="126">
          <cell r="AJ126">
            <v>6</v>
          </cell>
        </row>
        <row r="127">
          <cell r="AJ127">
            <v>6</v>
          </cell>
        </row>
        <row r="129">
          <cell r="AJ129">
            <v>6</v>
          </cell>
        </row>
        <row r="130">
          <cell r="AJ130">
            <v>7</v>
          </cell>
        </row>
        <row r="131">
          <cell r="AJ131">
            <v>6</v>
          </cell>
        </row>
        <row r="132">
          <cell r="AJ132">
            <v>12</v>
          </cell>
        </row>
        <row r="133">
          <cell r="AJ133">
            <v>12</v>
          </cell>
        </row>
        <row r="134">
          <cell r="AJ134">
            <v>0</v>
          </cell>
        </row>
        <row r="135">
          <cell r="AJ135">
            <v>0</v>
          </cell>
        </row>
        <row r="136">
          <cell r="AJ136">
            <v>0</v>
          </cell>
        </row>
        <row r="137">
          <cell r="AJ137">
            <v>0</v>
          </cell>
        </row>
        <row r="138">
          <cell r="AJ138">
            <v>0</v>
          </cell>
        </row>
        <row r="139">
          <cell r="AJ139">
            <v>0</v>
          </cell>
        </row>
        <row r="140">
          <cell r="AJ140">
            <v>0</v>
          </cell>
        </row>
        <row r="141">
          <cell r="AJ141">
            <v>0</v>
          </cell>
        </row>
        <row r="143">
          <cell r="AJ143">
            <v>18</v>
          </cell>
        </row>
        <row r="145">
          <cell r="AJ145">
            <v>0</v>
          </cell>
        </row>
        <row r="146">
          <cell r="AJ146">
            <v>0</v>
          </cell>
        </row>
        <row r="147">
          <cell r="AJ147">
            <v>0</v>
          </cell>
        </row>
        <row r="148">
          <cell r="AJ148">
            <v>0</v>
          </cell>
        </row>
        <row r="149">
          <cell r="AJ149">
            <v>1</v>
          </cell>
        </row>
        <row r="150">
          <cell r="AJ150">
            <v>10</v>
          </cell>
        </row>
        <row r="151">
          <cell r="AJ151">
            <v>7</v>
          </cell>
        </row>
        <row r="152">
          <cell r="AJ152">
            <v>126</v>
          </cell>
        </row>
        <row r="153">
          <cell r="AJ153">
            <v>2</v>
          </cell>
        </row>
        <row r="154">
          <cell r="AJ154">
            <v>3</v>
          </cell>
        </row>
        <row r="155">
          <cell r="AJ155">
            <v>0</v>
          </cell>
        </row>
        <row r="156">
          <cell r="AJ156">
            <v>2</v>
          </cell>
        </row>
        <row r="157">
          <cell r="AJ157">
            <v>3</v>
          </cell>
        </row>
        <row r="158">
          <cell r="AJ158">
            <v>0</v>
          </cell>
        </row>
        <row r="159">
          <cell r="AJ159">
            <v>0</v>
          </cell>
        </row>
        <row r="160">
          <cell r="AJ160">
            <v>0</v>
          </cell>
        </row>
        <row r="161">
          <cell r="AJ161">
            <v>0</v>
          </cell>
        </row>
        <row r="162">
          <cell r="AJ162">
            <v>0</v>
          </cell>
        </row>
        <row r="163">
          <cell r="AJ163">
            <v>3</v>
          </cell>
        </row>
        <row r="164">
          <cell r="AJ164">
            <v>0</v>
          </cell>
        </row>
        <row r="165">
          <cell r="AJ165">
            <v>0</v>
          </cell>
        </row>
        <row r="166">
          <cell r="AJ166">
            <v>0</v>
          </cell>
        </row>
        <row r="167">
          <cell r="AJ167">
            <v>0</v>
          </cell>
        </row>
        <row r="168">
          <cell r="AJ168">
            <v>0</v>
          </cell>
        </row>
        <row r="169">
          <cell r="AJ169">
            <v>1</v>
          </cell>
        </row>
        <row r="170">
          <cell r="AJ170">
            <v>0</v>
          </cell>
        </row>
        <row r="171">
          <cell r="AJ171">
            <v>0</v>
          </cell>
        </row>
        <row r="172">
          <cell r="AJ172">
            <v>0</v>
          </cell>
        </row>
        <row r="173">
          <cell r="AJ173">
            <v>0</v>
          </cell>
        </row>
        <row r="174">
          <cell r="AJ174">
            <v>4</v>
          </cell>
        </row>
        <row r="176">
          <cell r="AJ176">
            <v>0</v>
          </cell>
        </row>
        <row r="177">
          <cell r="AJ177">
            <v>0</v>
          </cell>
        </row>
        <row r="182">
          <cell r="AJ182">
            <v>0</v>
          </cell>
        </row>
        <row r="183">
          <cell r="AJ183">
            <v>1</v>
          </cell>
        </row>
        <row r="184">
          <cell r="AJ184">
            <v>1</v>
          </cell>
        </row>
        <row r="186">
          <cell r="AJ186">
            <v>0</v>
          </cell>
        </row>
        <row r="187">
          <cell r="AJ187">
            <v>0</v>
          </cell>
        </row>
        <row r="188">
          <cell r="AJ188">
            <v>0</v>
          </cell>
        </row>
        <row r="189">
          <cell r="AJ189">
            <v>0</v>
          </cell>
        </row>
        <row r="190">
          <cell r="AJ190">
            <v>0</v>
          </cell>
        </row>
        <row r="192">
          <cell r="AJ192">
            <v>0</v>
          </cell>
        </row>
        <row r="193">
          <cell r="AJ193">
            <v>0</v>
          </cell>
        </row>
        <row r="194">
          <cell r="AJ194">
            <v>0</v>
          </cell>
        </row>
        <row r="195">
          <cell r="AJ195">
            <v>0</v>
          </cell>
        </row>
        <row r="196">
          <cell r="AJ196">
            <v>0</v>
          </cell>
        </row>
        <row r="199">
          <cell r="AJ199">
            <v>0</v>
          </cell>
        </row>
        <row r="200">
          <cell r="AJ200">
            <v>0</v>
          </cell>
        </row>
        <row r="201">
          <cell r="AJ201">
            <v>0</v>
          </cell>
        </row>
      </sheetData>
      <sheetData sheetId="11">
        <row r="1">
          <cell r="AL1">
            <v>0</v>
          </cell>
        </row>
      </sheetData>
      <sheetData sheetId="12">
        <row r="1">
          <cell r="AL1">
            <v>0</v>
          </cell>
        </row>
      </sheetData>
      <sheetData sheetId="13">
        <row r="1">
          <cell r="AL1">
            <v>0</v>
          </cell>
        </row>
      </sheetData>
      <sheetData sheetId="14">
        <row r="1">
          <cell r="AL1">
            <v>0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5E3A-35F9-4AC4-9C7E-6CCC557E854B}">
  <sheetPr codeName="Hoja16">
    <tabColor rgb="FFF375D2"/>
  </sheetPr>
  <dimension ref="A1:T212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:Q2"/>
    </sheetView>
  </sheetViews>
  <sheetFormatPr baseColWidth="10" defaultRowHeight="30" customHeight="1" x14ac:dyDescent="0.25"/>
  <cols>
    <col min="1" max="1" width="30.140625" style="4" customWidth="1"/>
    <col min="2" max="12" width="7.7109375" style="3" customWidth="1"/>
    <col min="13" max="16" width="3.5703125" style="3" customWidth="1"/>
    <col min="17" max="17" width="9.7109375" style="3" customWidth="1"/>
    <col min="18" max="19" width="9.7109375" style="2" customWidth="1"/>
    <col min="20" max="20" width="6.85546875" style="1" customWidth="1"/>
    <col min="21" max="21" width="4.7109375" style="1" customWidth="1"/>
    <col min="22" max="22" width="5" style="1" customWidth="1"/>
    <col min="23" max="23" width="6.140625" style="1" customWidth="1"/>
    <col min="24" max="24" width="4.7109375" style="1" customWidth="1"/>
    <col min="25" max="16384" width="11.42578125" style="1"/>
  </cols>
  <sheetData>
    <row r="1" spans="1:20" ht="30.75" customHeight="1" x14ac:dyDescent="0.25">
      <c r="A1" s="107" t="s">
        <v>131</v>
      </c>
      <c r="B1" s="108" t="s">
        <v>130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34" t="s">
        <v>30</v>
      </c>
      <c r="S1" s="39">
        <f>SUM(S3+S2)</f>
        <v>19854</v>
      </c>
      <c r="T1" s="5"/>
    </row>
    <row r="2" spans="1:20" ht="30.75" customHeight="1" thickBot="1" x14ac:dyDescent="0.3">
      <c r="A2" s="107" t="s">
        <v>129</v>
      </c>
      <c r="B2" s="108" t="s">
        <v>128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34" t="s">
        <v>26</v>
      </c>
      <c r="S2" s="35">
        <f>Q4+Q8+Q12+Q16+Q58+Q110+Q116+Q122+Q128</f>
        <v>12609</v>
      </c>
      <c r="T2" s="5"/>
    </row>
    <row r="3" spans="1:20" ht="30.75" customHeight="1" thickTop="1" thickBot="1" x14ac:dyDescent="0.3">
      <c r="A3" s="20" t="s">
        <v>9</v>
      </c>
      <c r="B3" s="19">
        <v>1</v>
      </c>
      <c r="C3" s="19">
        <v>2</v>
      </c>
      <c r="D3" s="19">
        <v>3</v>
      </c>
      <c r="E3" s="19">
        <v>4</v>
      </c>
      <c r="F3" s="19">
        <v>5</v>
      </c>
      <c r="G3" s="19">
        <v>6</v>
      </c>
      <c r="H3" s="19">
        <v>7</v>
      </c>
      <c r="I3" s="19">
        <v>8</v>
      </c>
      <c r="J3" s="19">
        <v>9</v>
      </c>
      <c r="K3" s="19">
        <v>10</v>
      </c>
      <c r="L3" s="19">
        <v>11</v>
      </c>
      <c r="M3" s="19"/>
      <c r="N3" s="19"/>
      <c r="O3" s="19"/>
      <c r="P3" s="19"/>
      <c r="Q3" s="18" t="s">
        <v>8</v>
      </c>
      <c r="R3" s="34" t="s">
        <v>25</v>
      </c>
      <c r="S3" s="33">
        <f>Q16+Q86+Q116+Q128</f>
        <v>7245</v>
      </c>
      <c r="T3" s="5"/>
    </row>
    <row r="4" spans="1:20" ht="30.75" customHeight="1" thickTop="1" thickBot="1" x14ac:dyDescent="0.3">
      <c r="A4" s="68" t="s">
        <v>127</v>
      </c>
      <c r="B4" s="22">
        <f t="shared" ref="B4:J4" si="0">SUM(B5:B7)</f>
        <v>477</v>
      </c>
      <c r="C4" s="22">
        <f t="shared" si="0"/>
        <v>502</v>
      </c>
      <c r="D4" s="22">
        <f t="shared" si="0"/>
        <v>553</v>
      </c>
      <c r="E4" s="22">
        <f t="shared" si="0"/>
        <v>435</v>
      </c>
      <c r="F4" s="22">
        <f t="shared" si="0"/>
        <v>203</v>
      </c>
      <c r="G4" s="22">
        <f t="shared" si="0"/>
        <v>500</v>
      </c>
      <c r="H4" s="22">
        <f t="shared" si="0"/>
        <v>479</v>
      </c>
      <c r="I4" s="22">
        <f t="shared" si="0"/>
        <v>336</v>
      </c>
      <c r="J4" s="22">
        <f t="shared" si="0"/>
        <v>472</v>
      </c>
      <c r="K4" s="22">
        <f>SUM(H4)</f>
        <v>479</v>
      </c>
      <c r="L4" s="22">
        <f>SUM(L5:L7)</f>
        <v>395</v>
      </c>
      <c r="M4" s="22"/>
      <c r="N4" s="22"/>
      <c r="O4" s="22"/>
      <c r="P4" s="22"/>
      <c r="Q4" s="22">
        <f>B4+C4+D4+E4+F4+G4+H4+I4+J4+K4+L4+M4+N4+O4+P4</f>
        <v>4831</v>
      </c>
      <c r="R4" s="6"/>
      <c r="S4" s="6"/>
      <c r="T4" s="5"/>
    </row>
    <row r="5" spans="1:20" ht="30.75" customHeight="1" thickTop="1" thickBot="1" x14ac:dyDescent="0.3">
      <c r="A5" s="24">
        <v>19</v>
      </c>
      <c r="B5" s="23">
        <f>'[1]CMF 1 '!AJ5</f>
        <v>0</v>
      </c>
      <c r="C5" s="23">
        <f>'[1]CMF 2'!AJ5</f>
        <v>0</v>
      </c>
      <c r="D5" s="23">
        <f>'[1]CMF 3'!AJ5</f>
        <v>10</v>
      </c>
      <c r="E5" s="23">
        <f>'[1]CMF 4'!AJ5</f>
        <v>1</v>
      </c>
      <c r="F5" s="23">
        <f>'[1]CMF 5'!AJ5</f>
        <v>1</v>
      </c>
      <c r="G5" s="23">
        <f>'[1]CMF 6'!AJ5</f>
        <v>1</v>
      </c>
      <c r="H5" s="23">
        <f>'[1]CMF 7'!AJ5</f>
        <v>7</v>
      </c>
      <c r="I5" s="23">
        <f>'[1]CMF 8'!AJ5</f>
        <v>2</v>
      </c>
      <c r="J5" s="23">
        <f>'[1]CMF 9'!AJ5</f>
        <v>2</v>
      </c>
      <c r="K5" s="23">
        <f>'[1]CMF 10'!AJ5</f>
        <v>2</v>
      </c>
      <c r="L5" s="23">
        <f>'[1]CMF 11'!AJ5</f>
        <v>8</v>
      </c>
      <c r="M5" s="23"/>
      <c r="N5" s="23"/>
      <c r="O5" s="23"/>
      <c r="P5" s="23"/>
      <c r="Q5" s="22">
        <f>B5+C5+D5+E5+F5+G5+H5+I5+J5+K5+L5+M5+N5+O5+P5</f>
        <v>34</v>
      </c>
      <c r="R5" s="6"/>
      <c r="S5" s="106"/>
      <c r="T5" s="5"/>
    </row>
    <row r="6" spans="1:20" ht="30.75" customHeight="1" thickTop="1" thickBot="1" x14ac:dyDescent="0.3">
      <c r="A6" s="24" t="s">
        <v>23</v>
      </c>
      <c r="B6" s="23">
        <f>'[1]CMF 1 '!AJ6</f>
        <v>355</v>
      </c>
      <c r="C6" s="23">
        <f>'[1]CMF 2'!AJ6</f>
        <v>378</v>
      </c>
      <c r="D6" s="23">
        <f>'[1]CMF 3'!AJ6</f>
        <v>337</v>
      </c>
      <c r="E6" s="23">
        <f>'[1]CMF 4'!AJ6</f>
        <v>259</v>
      </c>
      <c r="F6" s="23">
        <f>'[1]CMF 5'!AJ6</f>
        <v>129</v>
      </c>
      <c r="G6" s="23">
        <f>'[1]CMF 6'!AJ6</f>
        <v>351</v>
      </c>
      <c r="H6" s="23">
        <f>'[1]CMF 7'!AJ6</f>
        <v>289</v>
      </c>
      <c r="I6" s="23">
        <f>'[1]CMF 8'!AJ6</f>
        <v>202</v>
      </c>
      <c r="J6" s="23">
        <f>'[1]CMF 9'!AJ6</f>
        <v>306</v>
      </c>
      <c r="K6" s="23">
        <f>'[1]CMF 10'!AJ6</f>
        <v>299</v>
      </c>
      <c r="L6" s="23">
        <f>'[1]CMF 11'!AJ6</f>
        <v>270</v>
      </c>
      <c r="M6" s="23"/>
      <c r="N6" s="23"/>
      <c r="O6" s="23"/>
      <c r="P6" s="23"/>
      <c r="Q6" s="22">
        <f>B6+C6+D6+E6+F6+G6+H6+I6+J6+K6+L6+M6+N6+O6+P6</f>
        <v>3175</v>
      </c>
      <c r="R6" s="6"/>
      <c r="S6" s="106"/>
      <c r="T6" s="5"/>
    </row>
    <row r="7" spans="1:20" ht="30.75" customHeight="1" thickTop="1" thickBot="1" x14ac:dyDescent="0.3">
      <c r="A7" s="24" t="s">
        <v>22</v>
      </c>
      <c r="B7" s="23">
        <f>'[1]CMF 1 '!AJ7</f>
        <v>122</v>
      </c>
      <c r="C7" s="23">
        <f>'[1]CMF 2'!AJ7</f>
        <v>124</v>
      </c>
      <c r="D7" s="23">
        <f>'[1]CMF 3'!AJ7</f>
        <v>206</v>
      </c>
      <c r="E7" s="23">
        <f>'[1]CMF 4'!AJ7</f>
        <v>175</v>
      </c>
      <c r="F7" s="23">
        <f>'[1]CMF 5'!AJ7</f>
        <v>73</v>
      </c>
      <c r="G7" s="23">
        <f>'[1]CMF 6'!AJ7</f>
        <v>148</v>
      </c>
      <c r="H7" s="23">
        <f>'[1]CMF 7'!AJ7</f>
        <v>183</v>
      </c>
      <c r="I7" s="23">
        <f>'[1]CMF 8'!AJ7</f>
        <v>132</v>
      </c>
      <c r="J7" s="23">
        <f>'[1]CMF 9'!AJ7</f>
        <v>164</v>
      </c>
      <c r="K7" s="23">
        <f>'[1]CMF 10'!AJ7</f>
        <v>131</v>
      </c>
      <c r="L7" s="23">
        <f>'[1]CMF 11'!AJ7</f>
        <v>117</v>
      </c>
      <c r="M7" s="23"/>
      <c r="N7" s="23"/>
      <c r="O7" s="23"/>
      <c r="P7" s="23"/>
      <c r="Q7" s="22">
        <f>B7+C7+D7+E7+F7+G7+H7+I7+J7+K7+L7+M7+N7+O7+P7</f>
        <v>1575</v>
      </c>
      <c r="R7" s="6"/>
      <c r="S7" s="6"/>
      <c r="T7" s="5"/>
    </row>
    <row r="8" spans="1:20" ht="30.75" customHeight="1" thickTop="1" thickBot="1" x14ac:dyDescent="0.3">
      <c r="A8" s="68" t="s">
        <v>126</v>
      </c>
      <c r="B8" s="22">
        <f t="shared" ref="B8:L8" si="1">SUM(B9:B11)</f>
        <v>0</v>
      </c>
      <c r="C8" s="22">
        <f t="shared" si="1"/>
        <v>0</v>
      </c>
      <c r="D8" s="22">
        <f t="shared" si="1"/>
        <v>1</v>
      </c>
      <c r="E8" s="22">
        <f t="shared" si="1"/>
        <v>2</v>
      </c>
      <c r="F8" s="22">
        <f t="shared" si="1"/>
        <v>0</v>
      </c>
      <c r="G8" s="22">
        <f t="shared" si="1"/>
        <v>14</v>
      </c>
      <c r="H8" s="22">
        <f t="shared" si="1"/>
        <v>0</v>
      </c>
      <c r="I8" s="22">
        <f t="shared" si="1"/>
        <v>1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/>
      <c r="N8" s="22"/>
      <c r="O8" s="22"/>
      <c r="P8" s="22"/>
      <c r="Q8" s="22">
        <f>B8+C8+D8+E8+F8+G8+H8+I8+J8+K8+L8+M8+N8+O8+P8</f>
        <v>18</v>
      </c>
      <c r="R8" s="21"/>
      <c r="S8" s="6"/>
      <c r="T8" s="5"/>
    </row>
    <row r="9" spans="1:20" ht="30.75" customHeight="1" thickTop="1" thickBot="1" x14ac:dyDescent="0.3">
      <c r="A9" s="24">
        <v>19</v>
      </c>
      <c r="B9" s="23">
        <f>'[1]CMF 1 '!AJ9</f>
        <v>0</v>
      </c>
      <c r="C9" s="23">
        <f>'[1]CMF 2'!AJ9</f>
        <v>0</v>
      </c>
      <c r="D9" s="23">
        <f>'[1]CMF 3'!AJ9</f>
        <v>0</v>
      </c>
      <c r="E9" s="23">
        <f>'[1]CMF 4'!AJ9</f>
        <v>0</v>
      </c>
      <c r="F9" s="23">
        <f>'[1]CMF 5'!AJ9</f>
        <v>0</v>
      </c>
      <c r="G9" s="23">
        <f>'[1]CMF 6'!AJ9</f>
        <v>1</v>
      </c>
      <c r="H9" s="23">
        <f>'[1]CMF 7'!AJ9</f>
        <v>0</v>
      </c>
      <c r="I9" s="23">
        <f>'[1]CMF 8'!AJ9</f>
        <v>0</v>
      </c>
      <c r="J9" s="23">
        <f>'[1]CMF 9'!AJ9</f>
        <v>0</v>
      </c>
      <c r="K9" s="23">
        <f>'[1]CMF 10'!AJ9</f>
        <v>0</v>
      </c>
      <c r="L9" s="23">
        <f>'[1]CMF 11'!AJ9</f>
        <v>0</v>
      </c>
      <c r="M9" s="23"/>
      <c r="N9" s="23"/>
      <c r="O9" s="23"/>
      <c r="P9" s="23"/>
      <c r="Q9" s="22">
        <f>B9+C9+D9+E9+F9+G9+H9+I9+J9+K9+L9+M9+N9+O9+P9</f>
        <v>1</v>
      </c>
      <c r="R9" s="21"/>
      <c r="S9" s="6"/>
      <c r="T9" s="5"/>
    </row>
    <row r="10" spans="1:20" ht="30.75" customHeight="1" thickTop="1" thickBot="1" x14ac:dyDescent="0.3">
      <c r="A10" s="24" t="s">
        <v>23</v>
      </c>
      <c r="B10" s="23">
        <f>'[1]CMF 1 '!AJ10</f>
        <v>0</v>
      </c>
      <c r="C10" s="23">
        <f>'[1]CMF 2'!AJ10</f>
        <v>0</v>
      </c>
      <c r="D10" s="23">
        <f>'[1]CMF 3'!AJ10</f>
        <v>1</v>
      </c>
      <c r="E10" s="23">
        <f>'[1]CMF 4'!AJ10</f>
        <v>2</v>
      </c>
      <c r="F10" s="23">
        <f>'[1]CMF 5'!AJ10</f>
        <v>0</v>
      </c>
      <c r="G10" s="23">
        <f>'[1]CMF 6'!AJ10</f>
        <v>11</v>
      </c>
      <c r="H10" s="23">
        <f>'[1]CMF 7'!AJ10</f>
        <v>0</v>
      </c>
      <c r="I10" s="23">
        <f>'[1]CMF 8'!AJ10</f>
        <v>0</v>
      </c>
      <c r="J10" s="23">
        <f>'[1]CMF 9'!AJ10</f>
        <v>0</v>
      </c>
      <c r="K10" s="23">
        <f>'[1]CMF 10'!AJ10</f>
        <v>0</v>
      </c>
      <c r="L10" s="23">
        <f>'[1]CMF 11'!AJ10</f>
        <v>0</v>
      </c>
      <c r="M10" s="23"/>
      <c r="N10" s="23"/>
      <c r="O10" s="23"/>
      <c r="P10" s="23"/>
      <c r="Q10" s="22">
        <f>B10+C10+D10+E10+F10+G10+H10+I10+J10+K10+L10+M10+N10+O10+P10</f>
        <v>14</v>
      </c>
      <c r="R10" s="21"/>
      <c r="S10" s="6"/>
      <c r="T10" s="5"/>
    </row>
    <row r="11" spans="1:20" ht="30.75" customHeight="1" thickTop="1" thickBot="1" x14ac:dyDescent="0.3">
      <c r="A11" s="24" t="s">
        <v>22</v>
      </c>
      <c r="B11" s="23">
        <f>'[1]CMF 1 '!AJ11</f>
        <v>0</v>
      </c>
      <c r="C11" s="23">
        <f>'[1]CMF 2'!AJ11</f>
        <v>0</v>
      </c>
      <c r="D11" s="23">
        <f>'[1]CMF 3'!AJ11</f>
        <v>0</v>
      </c>
      <c r="E11" s="23">
        <f>'[1]CMF 4'!AJ11</f>
        <v>0</v>
      </c>
      <c r="F11" s="23">
        <f>'[1]CMF 5'!AJ11</f>
        <v>0</v>
      </c>
      <c r="G11" s="23">
        <f>'[1]CMF 6'!AJ11</f>
        <v>2</v>
      </c>
      <c r="H11" s="23">
        <f>'[1]CMF 7'!AJ11</f>
        <v>0</v>
      </c>
      <c r="I11" s="23">
        <f>'[1]CMF 8'!AJ11</f>
        <v>1</v>
      </c>
      <c r="J11" s="23">
        <f>'[1]CMF 9'!AJ11</f>
        <v>0</v>
      </c>
      <c r="K11" s="23">
        <f>'[1]CMF 10'!AJ11</f>
        <v>0</v>
      </c>
      <c r="L11" s="23">
        <f>'[1]CMF 11'!AJ11</f>
        <v>0</v>
      </c>
      <c r="M11" s="23"/>
      <c r="N11" s="23"/>
      <c r="O11" s="23"/>
      <c r="P11" s="23"/>
      <c r="Q11" s="22">
        <f>B11+C11+D11+E11+F11+G11+H11+I11+J11+K11+L11+M11+N11+O11+P11</f>
        <v>3</v>
      </c>
      <c r="R11" s="6"/>
      <c r="S11" s="6"/>
      <c r="T11" s="5"/>
    </row>
    <row r="12" spans="1:20" ht="30.75" customHeight="1" thickTop="1" thickBot="1" x14ac:dyDescent="0.3">
      <c r="A12" s="68" t="s">
        <v>125</v>
      </c>
      <c r="B12" s="22">
        <f t="shared" ref="B12:L12" si="2">SUM(B13:B15)</f>
        <v>0</v>
      </c>
      <c r="C12" s="22">
        <f t="shared" si="2"/>
        <v>0</v>
      </c>
      <c r="D12" s="22">
        <f t="shared" si="2"/>
        <v>0</v>
      </c>
      <c r="E12" s="22">
        <f t="shared" si="2"/>
        <v>0</v>
      </c>
      <c r="F12" s="22">
        <f t="shared" si="2"/>
        <v>0</v>
      </c>
      <c r="G12" s="22">
        <f t="shared" si="2"/>
        <v>0</v>
      </c>
      <c r="H12" s="22">
        <f t="shared" si="2"/>
        <v>0</v>
      </c>
      <c r="I12" s="22">
        <f t="shared" si="2"/>
        <v>0</v>
      </c>
      <c r="J12" s="22">
        <f t="shared" si="2"/>
        <v>0</v>
      </c>
      <c r="K12" s="22">
        <f t="shared" si="2"/>
        <v>0</v>
      </c>
      <c r="L12" s="22">
        <f t="shared" si="2"/>
        <v>0</v>
      </c>
      <c r="M12" s="22"/>
      <c r="N12" s="22"/>
      <c r="O12" s="22"/>
      <c r="P12" s="22"/>
      <c r="Q12" s="22">
        <f>B12+C12+D12+E12+F12+G12+H12+I12+J12+K12+L12+M12+N12+O12+P12</f>
        <v>0</v>
      </c>
      <c r="R12" s="6"/>
      <c r="S12" s="6"/>
      <c r="T12" s="5"/>
    </row>
    <row r="13" spans="1:20" ht="30.75" customHeight="1" thickTop="1" thickBot="1" x14ac:dyDescent="0.3">
      <c r="A13" s="24">
        <v>19</v>
      </c>
      <c r="B13" s="23">
        <f>'[1]CMF 1 '!AJ13</f>
        <v>0</v>
      </c>
      <c r="C13" s="23">
        <f>'[1]CMF 2'!AJ13</f>
        <v>0</v>
      </c>
      <c r="D13" s="23">
        <f>'[1]CMF 3'!AJ13</f>
        <v>0</v>
      </c>
      <c r="E13" s="23">
        <f>'[1]CMF 4'!AJ13</f>
        <v>0</v>
      </c>
      <c r="F13" s="23">
        <f>'[1]CMF 5'!AJ13</f>
        <v>0</v>
      </c>
      <c r="G13" s="23">
        <f>'[1]CMF 6'!AJ13</f>
        <v>0</v>
      </c>
      <c r="H13" s="23">
        <f>'[1]CMF 7'!AJ13</f>
        <v>0</v>
      </c>
      <c r="I13" s="23">
        <f>'[1]CMF 8'!AJ13</f>
        <v>0</v>
      </c>
      <c r="J13" s="23">
        <f>'[1]CMF 9'!AJ13</f>
        <v>0</v>
      </c>
      <c r="K13" s="23">
        <f>'[1]CMF 10'!AJ13</f>
        <v>0</v>
      </c>
      <c r="L13" s="23">
        <f>'[1]CMF 11'!AJ13</f>
        <v>0</v>
      </c>
      <c r="M13" s="23"/>
      <c r="N13" s="23"/>
      <c r="O13" s="23"/>
      <c r="P13" s="23"/>
      <c r="Q13" s="22">
        <f>B13+C13+D13+E13+F13+G13+H13+I13+J13+K13+L13+M13+N13+O13+P13</f>
        <v>0</v>
      </c>
      <c r="R13" s="6"/>
      <c r="S13" s="6"/>
      <c r="T13" s="5"/>
    </row>
    <row r="14" spans="1:20" ht="30.75" customHeight="1" thickTop="1" thickBot="1" x14ac:dyDescent="0.3">
      <c r="A14" s="24" t="s">
        <v>23</v>
      </c>
      <c r="B14" s="23">
        <f>'[1]CMF 1 '!AJ14</f>
        <v>0</v>
      </c>
      <c r="C14" s="23">
        <f>'[1]CMF 2'!AJ14</f>
        <v>0</v>
      </c>
      <c r="D14" s="23">
        <f>'[1]CMF 3'!AJ14</f>
        <v>0</v>
      </c>
      <c r="E14" s="23">
        <f>'[1]CMF 4'!AJ14</f>
        <v>0</v>
      </c>
      <c r="F14" s="23">
        <f>'[1]CMF 5'!AJ14</f>
        <v>0</v>
      </c>
      <c r="G14" s="23">
        <f>'[1]CMF 6'!AJ14</f>
        <v>0</v>
      </c>
      <c r="H14" s="23">
        <f>'[1]CMF 7'!AJ14</f>
        <v>0</v>
      </c>
      <c r="I14" s="23">
        <f>'[1]CMF 8'!AJ14</f>
        <v>0</v>
      </c>
      <c r="J14" s="23">
        <f>'[1]CMF 9'!AJ14</f>
        <v>0</v>
      </c>
      <c r="K14" s="23">
        <f>'[1]CMF 10'!AJ14</f>
        <v>0</v>
      </c>
      <c r="L14" s="23">
        <f>'[1]CMF 11'!AJ14</f>
        <v>0</v>
      </c>
      <c r="M14" s="23"/>
      <c r="N14" s="23"/>
      <c r="O14" s="23"/>
      <c r="P14" s="23"/>
      <c r="Q14" s="22">
        <f>B14+C14+D14+E14+F14+G14+H14+I14+J14+K14+L14+M14+N14+O14+P14</f>
        <v>0</v>
      </c>
      <c r="R14" s="6"/>
      <c r="S14" s="6"/>
      <c r="T14" s="5"/>
    </row>
    <row r="15" spans="1:20" ht="30.75" customHeight="1" thickTop="1" thickBot="1" x14ac:dyDescent="0.3">
      <c r="A15" s="24" t="s">
        <v>22</v>
      </c>
      <c r="B15" s="23">
        <f>'[1]CMF 1 '!AJ15</f>
        <v>0</v>
      </c>
      <c r="C15" s="23">
        <f>'[1]CMF 2'!AJ15</f>
        <v>0</v>
      </c>
      <c r="D15" s="23">
        <f>'[1]CMF 3'!AJ15</f>
        <v>0</v>
      </c>
      <c r="E15" s="23">
        <f>'[1]CMF 4'!AJ15</f>
        <v>0</v>
      </c>
      <c r="F15" s="23">
        <f>'[1]CMF 5'!AJ15</f>
        <v>0</v>
      </c>
      <c r="G15" s="23">
        <f>'[1]CMF 6'!AJ15</f>
        <v>0</v>
      </c>
      <c r="H15" s="23">
        <f>'[1]CMF 7'!AJ15</f>
        <v>0</v>
      </c>
      <c r="I15" s="23">
        <f>'[1]CMF 8'!AJ15</f>
        <v>0</v>
      </c>
      <c r="J15" s="23">
        <f>'[1]CMF 9'!AJ15</f>
        <v>0</v>
      </c>
      <c r="K15" s="23">
        <f>'[1]CMF 10'!AJ15</f>
        <v>0</v>
      </c>
      <c r="L15" s="23">
        <f>'[1]CMF 11'!AJ15</f>
        <v>0</v>
      </c>
      <c r="M15" s="23"/>
      <c r="N15" s="23"/>
      <c r="O15" s="23"/>
      <c r="P15" s="23"/>
      <c r="Q15" s="22">
        <f>B15+C15+D15+E15+F15+G15+H15+I15+J15+K15+L15+M15+N15+O15+P15</f>
        <v>0</v>
      </c>
      <c r="R15" s="6"/>
      <c r="S15" s="6"/>
      <c r="T15" s="5"/>
    </row>
    <row r="16" spans="1:20" ht="30.75" customHeight="1" thickTop="1" thickBot="1" x14ac:dyDescent="0.3">
      <c r="A16" s="105" t="s">
        <v>24</v>
      </c>
      <c r="B16" s="104">
        <f t="shared" ref="B16:L16" si="3">SUM(B17:B19)</f>
        <v>650</v>
      </c>
      <c r="C16" s="104">
        <f t="shared" si="3"/>
        <v>568</v>
      </c>
      <c r="D16" s="104">
        <f t="shared" si="3"/>
        <v>518</v>
      </c>
      <c r="E16" s="104">
        <f t="shared" si="3"/>
        <v>621</v>
      </c>
      <c r="F16" s="104">
        <f t="shared" si="3"/>
        <v>524</v>
      </c>
      <c r="G16" s="104">
        <f t="shared" si="3"/>
        <v>672</v>
      </c>
      <c r="H16" s="104">
        <f t="shared" si="3"/>
        <v>588</v>
      </c>
      <c r="I16" s="104">
        <f t="shared" si="3"/>
        <v>562</v>
      </c>
      <c r="J16" s="104">
        <f t="shared" si="3"/>
        <v>632</v>
      </c>
      <c r="K16" s="104">
        <f t="shared" si="3"/>
        <v>601</v>
      </c>
      <c r="L16" s="104">
        <f t="shared" si="3"/>
        <v>515</v>
      </c>
      <c r="M16" s="104"/>
      <c r="N16" s="104"/>
      <c r="O16" s="104"/>
      <c r="P16" s="104"/>
      <c r="Q16" s="104">
        <f>B16+C16+D16+E16+F16+G16+H16+I16+J16+K16+L16+M16+N16+O16+P16</f>
        <v>6451</v>
      </c>
      <c r="R16" s="21"/>
      <c r="S16" s="6"/>
      <c r="T16" s="5"/>
    </row>
    <row r="17" spans="1:20" ht="30.75" customHeight="1" thickTop="1" thickBot="1" x14ac:dyDescent="0.3">
      <c r="A17" s="24">
        <v>19</v>
      </c>
      <c r="B17" s="23">
        <f>'[1]CMF 1 '!AJ17</f>
        <v>1</v>
      </c>
      <c r="C17" s="23">
        <f>'[1]CMF 2'!AJ17</f>
        <v>1</v>
      </c>
      <c r="D17" s="23">
        <f>'[1]CMF 3'!AJ17</f>
        <v>7</v>
      </c>
      <c r="E17" s="23">
        <f>'[1]CMF 4'!AJ17</f>
        <v>10</v>
      </c>
      <c r="F17" s="23">
        <f>'[1]CMF 5'!AJ17</f>
        <v>4</v>
      </c>
      <c r="G17" s="23">
        <f>'[1]CMF 6'!AJ17</f>
        <v>5</v>
      </c>
      <c r="H17" s="23">
        <f>'[1]CMF 7'!AJ17</f>
        <v>9</v>
      </c>
      <c r="I17" s="23">
        <f>'[1]CMF 8'!AJ17</f>
        <v>10</v>
      </c>
      <c r="J17" s="23">
        <f>'[1]CMF 9'!AJ17</f>
        <v>6</v>
      </c>
      <c r="K17" s="23">
        <f>'[1]CMF 10'!AJ17</f>
        <v>12</v>
      </c>
      <c r="L17" s="23">
        <f>'[1]CMF 11'!AJ17</f>
        <v>5</v>
      </c>
      <c r="M17" s="23"/>
      <c r="N17" s="23"/>
      <c r="O17" s="23"/>
      <c r="P17" s="23"/>
      <c r="Q17" s="22">
        <f>B17+C17+D17+E17+F17+G17+H17+I17+J17+K17+L17+M17+N17+O17+P17</f>
        <v>70</v>
      </c>
      <c r="R17" s="21"/>
      <c r="S17" s="6"/>
      <c r="T17" s="5"/>
    </row>
    <row r="18" spans="1:20" ht="30.75" customHeight="1" thickTop="1" thickBot="1" x14ac:dyDescent="0.3">
      <c r="A18" s="24" t="s">
        <v>23</v>
      </c>
      <c r="B18" s="23">
        <f>'[1]CMF 1 '!AJ18</f>
        <v>364</v>
      </c>
      <c r="C18" s="23">
        <f>'[1]CMF 2'!AJ18</f>
        <v>412</v>
      </c>
      <c r="D18" s="23">
        <f>'[1]CMF 3'!AJ18</f>
        <v>331</v>
      </c>
      <c r="E18" s="23">
        <f>'[1]CMF 4'!AJ18</f>
        <v>370</v>
      </c>
      <c r="F18" s="23">
        <f>'[1]CMF 5'!AJ18</f>
        <v>372</v>
      </c>
      <c r="G18" s="23">
        <f>'[1]CMF 6'!AJ18</f>
        <v>452</v>
      </c>
      <c r="H18" s="23">
        <f>'[1]CMF 7'!AJ18</f>
        <v>358</v>
      </c>
      <c r="I18" s="23">
        <f>'[1]CMF 8'!AJ18</f>
        <v>361</v>
      </c>
      <c r="J18" s="23">
        <f>'[1]CMF 9'!AJ18</f>
        <v>451</v>
      </c>
      <c r="K18" s="23">
        <f>'[1]CMF 10'!AJ18</f>
        <v>347</v>
      </c>
      <c r="L18" s="23">
        <f>'[1]CMF 11'!AJ18</f>
        <v>328</v>
      </c>
      <c r="M18" s="23"/>
      <c r="N18" s="23"/>
      <c r="O18" s="23"/>
      <c r="P18" s="23"/>
      <c r="Q18" s="22">
        <f>B18+C18+D18+E18+F18+G18+H18+I18+J18+K18+L18+M18+N18+O18+P18</f>
        <v>4146</v>
      </c>
      <c r="R18" s="21"/>
      <c r="S18" s="6"/>
      <c r="T18" s="5"/>
    </row>
    <row r="19" spans="1:20" ht="30.75" customHeight="1" thickTop="1" thickBot="1" x14ac:dyDescent="0.3">
      <c r="A19" s="24" t="s">
        <v>22</v>
      </c>
      <c r="B19" s="23">
        <f>'[1]CMF 1 '!AJ19</f>
        <v>285</v>
      </c>
      <c r="C19" s="23">
        <f>'[1]CMF 2'!AJ19</f>
        <v>155</v>
      </c>
      <c r="D19" s="23">
        <f>'[1]CMF 3'!AJ19</f>
        <v>180</v>
      </c>
      <c r="E19" s="23">
        <f>'[1]CMF 4'!AJ19</f>
        <v>241</v>
      </c>
      <c r="F19" s="23">
        <f>'[1]CMF 5'!AJ19</f>
        <v>148</v>
      </c>
      <c r="G19" s="23">
        <f>'[1]CMF 6'!AJ19</f>
        <v>215</v>
      </c>
      <c r="H19" s="23">
        <f>'[1]CMF 7'!AJ19</f>
        <v>221</v>
      </c>
      <c r="I19" s="23">
        <f>'[1]CMF 8'!AJ19</f>
        <v>191</v>
      </c>
      <c r="J19" s="23">
        <f>'[1]CMF 9'!AJ19</f>
        <v>175</v>
      </c>
      <c r="K19" s="23">
        <f>'[1]CMF 10'!AJ19</f>
        <v>242</v>
      </c>
      <c r="L19" s="23">
        <f>'[1]CMF 11'!AJ19</f>
        <v>182</v>
      </c>
      <c r="M19" s="23"/>
      <c r="N19" s="23"/>
      <c r="O19" s="23"/>
      <c r="P19" s="23"/>
      <c r="Q19" s="22">
        <f>B19+C19+D19+E19+F19+G19+H19+I19+J19+K19+L19+M19+N19+O19+P19</f>
        <v>2235</v>
      </c>
      <c r="R19" s="21"/>
      <c r="S19" s="6"/>
      <c r="T19" s="5"/>
    </row>
    <row r="20" spans="1:20" ht="30.75" customHeight="1" thickTop="1" thickBot="1" x14ac:dyDescent="0.3">
      <c r="A20" s="62" t="s">
        <v>124</v>
      </c>
      <c r="B20" s="60">
        <f t="shared" ref="B20:L20" si="4">SUM(B21+B23)</f>
        <v>20</v>
      </c>
      <c r="C20" s="60">
        <f t="shared" si="4"/>
        <v>21</v>
      </c>
      <c r="D20" s="60">
        <f t="shared" si="4"/>
        <v>11</v>
      </c>
      <c r="E20" s="60">
        <f t="shared" si="4"/>
        <v>10</v>
      </c>
      <c r="F20" s="60">
        <f t="shared" si="4"/>
        <v>20</v>
      </c>
      <c r="G20" s="60">
        <f t="shared" si="4"/>
        <v>18</v>
      </c>
      <c r="H20" s="60">
        <f t="shared" si="4"/>
        <v>11</v>
      </c>
      <c r="I20" s="60">
        <f t="shared" si="4"/>
        <v>22</v>
      </c>
      <c r="J20" s="60">
        <f t="shared" si="4"/>
        <v>10</v>
      </c>
      <c r="K20" s="60">
        <f t="shared" si="4"/>
        <v>30</v>
      </c>
      <c r="L20" s="60">
        <f t="shared" si="4"/>
        <v>9</v>
      </c>
      <c r="M20" s="60"/>
      <c r="N20" s="60"/>
      <c r="O20" s="60"/>
      <c r="P20" s="60"/>
      <c r="Q20" s="60">
        <f>B20+C20+D20+E20+F20+G20+H20+I20+J20+K20+L20+M20+N20+O20+P20</f>
        <v>182</v>
      </c>
      <c r="R20" s="21"/>
      <c r="S20" s="6"/>
      <c r="T20" s="5"/>
    </row>
    <row r="21" spans="1:20" ht="30.75" customHeight="1" thickTop="1" thickBot="1" x14ac:dyDescent="0.3">
      <c r="A21" s="24">
        <v>19</v>
      </c>
      <c r="B21" s="23">
        <f>'[1]CMF 1 '!AJ21</f>
        <v>0</v>
      </c>
      <c r="C21" s="23">
        <f>'[1]CMF 2'!AJ21</f>
        <v>0</v>
      </c>
      <c r="D21" s="23">
        <f>'[1]CMF 3'!AJ21</f>
        <v>0</v>
      </c>
      <c r="E21" s="23">
        <f>'[1]CMF 4'!AJ21</f>
        <v>0</v>
      </c>
      <c r="F21" s="23">
        <f>'[1]CMF 5'!AJ21</f>
        <v>0</v>
      </c>
      <c r="G21" s="23">
        <f>'[1]CMF 6'!AJ21</f>
        <v>0</v>
      </c>
      <c r="H21" s="23">
        <f>'[1]CMF 7'!AJ21</f>
        <v>0</v>
      </c>
      <c r="I21" s="23">
        <f>'[1]CMF 8'!AJ21</f>
        <v>0</v>
      </c>
      <c r="J21" s="23">
        <f>'[1]CMF 9'!AJ21</f>
        <v>0</v>
      </c>
      <c r="K21" s="23">
        <f>'[1]CMF 10'!AJ21</f>
        <v>0</v>
      </c>
      <c r="L21" s="23">
        <f>'[1]CMF 11'!AJ21</f>
        <v>0</v>
      </c>
      <c r="M21" s="23"/>
      <c r="N21" s="23"/>
      <c r="O21" s="23"/>
      <c r="P21" s="23"/>
      <c r="Q21" s="22">
        <f>B21+C21+D21+E21+F21+G21+H21+I21+J21+K21+L21+M21+N21+O21+P21</f>
        <v>0</v>
      </c>
      <c r="R21" s="21"/>
      <c r="S21" s="6"/>
      <c r="T21" s="5"/>
    </row>
    <row r="22" spans="1:20" ht="30.75" customHeight="1" thickTop="1" thickBot="1" x14ac:dyDescent="0.3">
      <c r="A22" s="24" t="s">
        <v>23</v>
      </c>
      <c r="B22" s="23">
        <f>'[1]CMF 1 '!AJ22</f>
        <v>0</v>
      </c>
      <c r="C22" s="23">
        <f>'[1]CMF 2'!AJ22</f>
        <v>0</v>
      </c>
      <c r="D22" s="23">
        <f>'[1]CMF 3'!AJ22</f>
        <v>0</v>
      </c>
      <c r="E22" s="23">
        <f>'[1]CMF 4'!AJ22</f>
        <v>0</v>
      </c>
      <c r="F22" s="23">
        <f>'[1]CMF 5'!AJ22</f>
        <v>0</v>
      </c>
      <c r="G22" s="23">
        <f>'[1]CMF 6'!AJ22</f>
        <v>0</v>
      </c>
      <c r="H22" s="23">
        <f>'[1]CMF 7'!AJ22</f>
        <v>0</v>
      </c>
      <c r="I22" s="23">
        <f>'[1]CMF 8'!AJ22</f>
        <v>0</v>
      </c>
      <c r="J22" s="23">
        <f>'[1]CMF 9'!AJ22</f>
        <v>0</v>
      </c>
      <c r="K22" s="23">
        <f>'[1]CMF 10'!AJ22</f>
        <v>0</v>
      </c>
      <c r="L22" s="23">
        <f>'[1]CMF 11'!AJ22</f>
        <v>0</v>
      </c>
      <c r="M22" s="23"/>
      <c r="N22" s="23"/>
      <c r="O22" s="23"/>
      <c r="P22" s="23"/>
      <c r="Q22" s="22">
        <f>B22+C22+D22+E22+F22+G22+H22+I22+J22+K22+L22+M22+N22+O22+P22</f>
        <v>0</v>
      </c>
      <c r="R22" s="21"/>
      <c r="S22" s="6"/>
      <c r="T22" s="5"/>
    </row>
    <row r="23" spans="1:20" ht="30.75" customHeight="1" thickTop="1" thickBot="1" x14ac:dyDescent="0.3">
      <c r="A23" s="24" t="s">
        <v>22</v>
      </c>
      <c r="B23" s="23">
        <f>'[1]CMF 1 '!AJ23</f>
        <v>20</v>
      </c>
      <c r="C23" s="23">
        <f>'[1]CMF 2'!AJ23</f>
        <v>21</v>
      </c>
      <c r="D23" s="23">
        <f>'[1]CMF 3'!AJ23</f>
        <v>11</v>
      </c>
      <c r="E23" s="23">
        <f>'[1]CMF 4'!AJ23</f>
        <v>10</v>
      </c>
      <c r="F23" s="23">
        <f>'[1]CMF 5'!AJ23</f>
        <v>20</v>
      </c>
      <c r="G23" s="23">
        <f>'[1]CMF 6'!AJ23</f>
        <v>18</v>
      </c>
      <c r="H23" s="23">
        <f>'[1]CMF 7'!AJ23</f>
        <v>11</v>
      </c>
      <c r="I23" s="23">
        <f>'[1]CMF 8'!AJ23</f>
        <v>22</v>
      </c>
      <c r="J23" s="23">
        <f>'[1]CMF 9'!AJ23</f>
        <v>10</v>
      </c>
      <c r="K23" s="23">
        <f>'[1]CMF 10'!AJ23</f>
        <v>30</v>
      </c>
      <c r="L23" s="23">
        <f>'[1]CMF 11'!AJ23</f>
        <v>9</v>
      </c>
      <c r="M23" s="23"/>
      <c r="N23" s="23"/>
      <c r="O23" s="23"/>
      <c r="P23" s="23"/>
      <c r="Q23" s="22">
        <f>B23+C23+D23+E23+F23+G23+H23+I23+J23+K23+L23+M23+N23+O23+P23</f>
        <v>182</v>
      </c>
      <c r="R23" s="21"/>
      <c r="S23" s="6"/>
      <c r="T23" s="5"/>
    </row>
    <row r="24" spans="1:20" ht="30.75" customHeight="1" thickTop="1" thickBot="1" x14ac:dyDescent="0.3">
      <c r="A24" s="26" t="s">
        <v>13</v>
      </c>
      <c r="B24" s="25">
        <f t="shared" ref="B24:L24" si="5">SUM(B25:B27)</f>
        <v>0</v>
      </c>
      <c r="C24" s="25">
        <f t="shared" si="5"/>
        <v>0</v>
      </c>
      <c r="D24" s="25">
        <f t="shared" si="5"/>
        <v>0</v>
      </c>
      <c r="E24" s="25">
        <f t="shared" si="5"/>
        <v>0</v>
      </c>
      <c r="F24" s="25">
        <f t="shared" si="5"/>
        <v>0</v>
      </c>
      <c r="G24" s="25">
        <f t="shared" si="5"/>
        <v>0</v>
      </c>
      <c r="H24" s="25">
        <f t="shared" si="5"/>
        <v>0</v>
      </c>
      <c r="I24" s="25">
        <f t="shared" si="5"/>
        <v>0</v>
      </c>
      <c r="J24" s="25">
        <f t="shared" si="5"/>
        <v>0</v>
      </c>
      <c r="K24" s="25">
        <f t="shared" si="5"/>
        <v>0</v>
      </c>
      <c r="L24" s="25">
        <f t="shared" si="5"/>
        <v>0</v>
      </c>
      <c r="M24" s="25"/>
      <c r="N24" s="25"/>
      <c r="O24" s="25"/>
      <c r="P24" s="25"/>
      <c r="Q24" s="25">
        <f>B24+C24+D24+E24+F24+G24+H24+I24+J24+K24+L24+M24+N24+O24+P24</f>
        <v>0</v>
      </c>
      <c r="R24" s="21"/>
      <c r="S24" s="6"/>
      <c r="T24" s="5"/>
    </row>
    <row r="25" spans="1:20" ht="30.75" customHeight="1" thickTop="1" thickBot="1" x14ac:dyDescent="0.3">
      <c r="A25" s="24" t="s">
        <v>12</v>
      </c>
      <c r="B25" s="23">
        <f>'[1]CMF 1 '!AJ25</f>
        <v>0</v>
      </c>
      <c r="C25" s="23">
        <f>'[1]CMF 2'!AJ25</f>
        <v>0</v>
      </c>
      <c r="D25" s="23">
        <f>'[1]CMF 3'!AJ25</f>
        <v>0</v>
      </c>
      <c r="E25" s="23">
        <f>'[1]CMF 4'!AJ25</f>
        <v>0</v>
      </c>
      <c r="F25" s="23">
        <f>'[1]CMF 5'!AJ25</f>
        <v>0</v>
      </c>
      <c r="G25" s="23">
        <f>'[1]CMF 6'!AJ25</f>
        <v>0</v>
      </c>
      <c r="H25" s="23">
        <f>'[1]CMF 7'!AJ25</f>
        <v>0</v>
      </c>
      <c r="I25" s="23">
        <f>'[1]CMF 8'!AJ25</f>
        <v>0</v>
      </c>
      <c r="J25" s="23">
        <f>'[1]CMF 9'!AJ25</f>
        <v>0</v>
      </c>
      <c r="K25" s="23">
        <f>'[1]CMF 10'!AJ25</f>
        <v>0</v>
      </c>
      <c r="L25" s="23">
        <f>'[1]CMF 11'!AJ25</f>
        <v>0</v>
      </c>
      <c r="M25" s="23"/>
      <c r="N25" s="23"/>
      <c r="O25" s="23"/>
      <c r="P25" s="23"/>
      <c r="Q25" s="22">
        <f>B25+C25+D25+E25+F25+G25+H25+I25+J25+K25+L25+M25+N25+O25+P25</f>
        <v>0</v>
      </c>
      <c r="R25" s="21"/>
      <c r="S25" s="6"/>
      <c r="T25" s="5"/>
    </row>
    <row r="26" spans="1:20" ht="30.75" customHeight="1" thickTop="1" thickBot="1" x14ac:dyDescent="0.3">
      <c r="A26" s="24" t="s">
        <v>11</v>
      </c>
      <c r="B26" s="23">
        <f>'[1]CMF 1 '!AJ26</f>
        <v>0</v>
      </c>
      <c r="C26" s="23">
        <f>'[1]CMF 2'!AJ26</f>
        <v>0</v>
      </c>
      <c r="D26" s="23">
        <f>'[1]CMF 3'!AJ26</f>
        <v>0</v>
      </c>
      <c r="E26" s="23">
        <f>'[1]CMF 4'!AJ26</f>
        <v>0</v>
      </c>
      <c r="F26" s="23">
        <f>'[1]CMF 5'!AJ26</f>
        <v>0</v>
      </c>
      <c r="G26" s="23">
        <f>'[1]CMF 6'!AJ26</f>
        <v>0</v>
      </c>
      <c r="H26" s="23">
        <f>'[1]CMF 7'!AJ26</f>
        <v>0</v>
      </c>
      <c r="I26" s="23">
        <f>'[1]CMF 8'!AJ26</f>
        <v>0</v>
      </c>
      <c r="J26" s="23">
        <f>'[1]CMF 9'!AJ26</f>
        <v>0</v>
      </c>
      <c r="K26" s="23">
        <f>'[1]CMF 10'!AJ26</f>
        <v>0</v>
      </c>
      <c r="L26" s="23">
        <f>'[1]CMF 11'!AJ26</f>
        <v>0</v>
      </c>
      <c r="M26" s="23"/>
      <c r="N26" s="23"/>
      <c r="O26" s="23"/>
      <c r="P26" s="23"/>
      <c r="Q26" s="22">
        <f>B26+C26+D26+E26+F26+G26+H26+I26+J26+K26+L26+M26+N26+O26+P26</f>
        <v>0</v>
      </c>
      <c r="R26" s="21"/>
      <c r="S26" s="6"/>
      <c r="T26" s="5"/>
    </row>
    <row r="27" spans="1:20" ht="30.75" customHeight="1" thickTop="1" thickBot="1" x14ac:dyDescent="0.3">
      <c r="A27" s="24" t="s">
        <v>10</v>
      </c>
      <c r="B27" s="23">
        <f>'[1]CMF 1 '!AJ27</f>
        <v>0</v>
      </c>
      <c r="C27" s="23">
        <f>'[1]CMF 2'!AJ27</f>
        <v>0</v>
      </c>
      <c r="D27" s="23">
        <f>'[1]CMF 3'!AJ27</f>
        <v>0</v>
      </c>
      <c r="E27" s="23">
        <f>'[1]CMF 4'!AJ27</f>
        <v>0</v>
      </c>
      <c r="F27" s="23">
        <f>'[1]CMF 5'!AJ27</f>
        <v>0</v>
      </c>
      <c r="G27" s="23">
        <f>'[1]CMF 6'!AJ27</f>
        <v>0</v>
      </c>
      <c r="H27" s="23">
        <f>'[1]CMF 7'!AJ27</f>
        <v>0</v>
      </c>
      <c r="I27" s="23">
        <f>'[1]CMF 8'!AJ27</f>
        <v>0</v>
      </c>
      <c r="J27" s="23">
        <f>'[1]CMF 9'!AJ27</f>
        <v>0</v>
      </c>
      <c r="K27" s="23">
        <f>'[1]CMF 10'!AJ27</f>
        <v>0</v>
      </c>
      <c r="L27" s="23">
        <f>'[1]CMF 11'!AJ27</f>
        <v>0</v>
      </c>
      <c r="M27" s="23"/>
      <c r="N27" s="23"/>
      <c r="O27" s="23"/>
      <c r="P27" s="23"/>
      <c r="Q27" s="22">
        <f>B27+C27+D27+E27+F27+G27+H27+I27+J27+K27+L27+M27+N27+O27+P27</f>
        <v>0</v>
      </c>
      <c r="R27" s="21"/>
      <c r="S27" s="6"/>
      <c r="T27" s="5"/>
    </row>
    <row r="28" spans="1:20" ht="30.75" customHeight="1" thickTop="1" thickBot="1" x14ac:dyDescent="0.3">
      <c r="A28" s="68" t="s">
        <v>123</v>
      </c>
      <c r="B28" s="22">
        <f>'[1]CMF 1 '!AJ28</f>
        <v>641</v>
      </c>
      <c r="C28" s="22">
        <f>'[1]CMF 2'!AJ28</f>
        <v>491</v>
      </c>
      <c r="D28" s="22">
        <f>'[1]CMF 3'!AJ28</f>
        <v>645</v>
      </c>
      <c r="E28" s="22">
        <f>'[1]CMF 4'!AJ28</f>
        <v>713</v>
      </c>
      <c r="F28" s="22">
        <f>'[1]CMF 5'!AJ28</f>
        <v>290</v>
      </c>
      <c r="G28" s="22">
        <f>'[1]CMF 6'!AJ28</f>
        <v>573</v>
      </c>
      <c r="H28" s="22">
        <f>'[1]CMF 7'!AJ28</f>
        <v>629</v>
      </c>
      <c r="I28" s="22">
        <f>'[1]CMF 8'!AJ28</f>
        <v>526</v>
      </c>
      <c r="J28" s="22">
        <f>'[1]CMF 9'!AJ28</f>
        <v>467</v>
      </c>
      <c r="K28" s="22">
        <f>'[1]CMF 10'!AJ28</f>
        <v>462</v>
      </c>
      <c r="L28" s="22">
        <f>'[1]CMF 11'!AJ28</f>
        <v>410</v>
      </c>
      <c r="M28" s="22"/>
      <c r="N28" s="22"/>
      <c r="O28" s="22"/>
      <c r="P28" s="22"/>
      <c r="Q28" s="22">
        <f>B28+C28+D28+E28+F28+G28+H28+I28+J28+K28+L28+M28+N28+O28+P28</f>
        <v>5847</v>
      </c>
      <c r="R28" s="103">
        <f>Q29+Q31+Q32+Q33+Q34+Q35+Q36+Q37+Q38+Q39</f>
        <v>5854</v>
      </c>
      <c r="S28" s="6"/>
      <c r="T28" s="5"/>
    </row>
    <row r="29" spans="1:20" ht="30.75" customHeight="1" thickTop="1" thickBot="1" x14ac:dyDescent="0.3">
      <c r="A29" s="24" t="s">
        <v>122</v>
      </c>
      <c r="B29" s="23">
        <f>'[1]CMF 1 '!AJ29</f>
        <v>3</v>
      </c>
      <c r="C29" s="23">
        <f>'[1]CMF 2'!AJ29</f>
        <v>6</v>
      </c>
      <c r="D29" s="23">
        <f>'[1]CMF 3'!AJ29</f>
        <v>6</v>
      </c>
      <c r="E29" s="23">
        <f>'[1]CMF 4'!AJ29</f>
        <v>18</v>
      </c>
      <c r="F29" s="23">
        <f>'[1]CMF 5'!AJ29</f>
        <v>21</v>
      </c>
      <c r="G29" s="23">
        <f>'[1]CMF 6'!AJ29</f>
        <v>6</v>
      </c>
      <c r="H29" s="23">
        <f>'[1]CMF 7'!AJ29</f>
        <v>0</v>
      </c>
      <c r="I29" s="23">
        <f>'[1]CMF 8'!AJ29</f>
        <v>1</v>
      </c>
      <c r="J29" s="23">
        <f>'[1]CMF 9'!AJ29</f>
        <v>26</v>
      </c>
      <c r="K29" s="23">
        <f>'[1]CMF 10'!AJ29</f>
        <v>0</v>
      </c>
      <c r="L29" s="23">
        <f>'[1]CMF 11'!AJ29</f>
        <v>3</v>
      </c>
      <c r="M29" s="23"/>
      <c r="N29" s="23"/>
      <c r="O29" s="23"/>
      <c r="P29" s="23"/>
      <c r="Q29" s="22">
        <f>B29+C29+D29+E29+F29+G29+H29+I29+J29+K29+L29+M29+N29+O29+P29</f>
        <v>90</v>
      </c>
      <c r="R29" s="21"/>
      <c r="S29" s="6"/>
      <c r="T29" s="5"/>
    </row>
    <row r="30" spans="1:20" ht="30.75" customHeight="1" thickTop="1" thickBot="1" x14ac:dyDescent="0.3">
      <c r="A30" s="102" t="s">
        <v>121</v>
      </c>
      <c r="B30" s="50">
        <f>'[1]CMF 1 '!AJ30</f>
        <v>2</v>
      </c>
      <c r="C30" s="50">
        <f>'[1]CMF 2'!AJ30</f>
        <v>6</v>
      </c>
      <c r="D30" s="50">
        <f>'[1]CMF 3'!AJ30</f>
        <v>6</v>
      </c>
      <c r="E30" s="50">
        <f>'[1]CMF 4'!AJ30</f>
        <v>18</v>
      </c>
      <c r="F30" s="50">
        <f>'[1]CMF 5'!AJ30</f>
        <v>7</v>
      </c>
      <c r="G30" s="50">
        <f>'[1]CMF 6'!AJ30</f>
        <v>6</v>
      </c>
      <c r="H30" s="50">
        <f>'[1]CMF 7'!AJ30</f>
        <v>0</v>
      </c>
      <c r="I30" s="50">
        <f>'[1]CMF 8'!AJ30</f>
        <v>1</v>
      </c>
      <c r="J30" s="50">
        <f>'[1]CMF 9'!AJ30</f>
        <v>4</v>
      </c>
      <c r="K30" s="50">
        <f>'[1]CMF 10'!AJ30</f>
        <v>0</v>
      </c>
      <c r="L30" s="50">
        <f>'[1]CMF 11'!AJ30</f>
        <v>2</v>
      </c>
      <c r="M30" s="50"/>
      <c r="N30" s="50"/>
      <c r="O30" s="50"/>
      <c r="P30" s="50"/>
      <c r="Q30" s="50">
        <f>B30+C30+D30+E30+F30+G30+H30+I30+J30+K30+L30+M30+N30+O30+P30</f>
        <v>52</v>
      </c>
      <c r="R30" s="101"/>
      <c r="S30" s="6"/>
      <c r="T30" s="5"/>
    </row>
    <row r="31" spans="1:20" ht="30.75" customHeight="1" thickTop="1" thickBot="1" x14ac:dyDescent="0.3">
      <c r="A31" s="24" t="s">
        <v>120</v>
      </c>
      <c r="B31" s="23">
        <f>'[1]CMF 1 '!AJ31</f>
        <v>631</v>
      </c>
      <c r="C31" s="23">
        <f>'[1]CMF 2'!AJ31</f>
        <v>479</v>
      </c>
      <c r="D31" s="23">
        <f>'[1]CMF 3'!AJ31</f>
        <v>407</v>
      </c>
      <c r="E31" s="23">
        <f>'[1]CMF 4'!AJ31</f>
        <v>654</v>
      </c>
      <c r="F31" s="23">
        <f>'[1]CMF 5'!AJ31</f>
        <v>235</v>
      </c>
      <c r="G31" s="23">
        <f>'[1]CMF 6'!AJ31</f>
        <v>369</v>
      </c>
      <c r="H31" s="23">
        <f>'[1]CMF 7'!AJ31</f>
        <v>629</v>
      </c>
      <c r="I31" s="23">
        <f>'[1]CMF 8'!AJ31</f>
        <v>438</v>
      </c>
      <c r="J31" s="23">
        <f>'[1]CMF 9'!AJ31</f>
        <v>443</v>
      </c>
      <c r="K31" s="23">
        <f>'[1]CMF 10'!AJ31</f>
        <v>311</v>
      </c>
      <c r="L31" s="23">
        <f>'[1]CMF 11'!AJ31</f>
        <v>391</v>
      </c>
      <c r="M31" s="23"/>
      <c r="N31" s="23"/>
      <c r="O31" s="23"/>
      <c r="P31" s="23"/>
      <c r="Q31" s="22">
        <f>B31+C31+D31+E31+F31+G31+H31+I31+J31+K31+L31+M31+N31+O31+P31</f>
        <v>4987</v>
      </c>
      <c r="R31" s="21"/>
      <c r="S31" s="6"/>
      <c r="T31" s="100"/>
    </row>
    <row r="32" spans="1:20" ht="30.75" customHeight="1" thickTop="1" thickBot="1" x14ac:dyDescent="0.3">
      <c r="A32" s="99" t="s">
        <v>119</v>
      </c>
      <c r="B32" s="23">
        <f>'[1]CMF 1 '!AJ32</f>
        <v>6</v>
      </c>
      <c r="C32" s="23">
        <f>'[1]CMF 2'!AJ32</f>
        <v>0</v>
      </c>
      <c r="D32" s="23">
        <f>'[1]CMF 3'!AJ32</f>
        <v>60</v>
      </c>
      <c r="E32" s="23">
        <f>'[1]CMF 4'!AJ32</f>
        <v>0</v>
      </c>
      <c r="F32" s="23">
        <f>'[1]CMF 5'!AJ32</f>
        <v>1</v>
      </c>
      <c r="G32" s="23">
        <f>'[1]CMF 6'!AJ32</f>
        <v>76</v>
      </c>
      <c r="H32" s="23">
        <f>'[1]CMF 7'!AJ32</f>
        <v>0</v>
      </c>
      <c r="I32" s="23">
        <f>'[1]CMF 8'!AJ32</f>
        <v>0</v>
      </c>
      <c r="J32" s="23">
        <f>'[1]CMF 9'!AJ32</f>
        <v>0</v>
      </c>
      <c r="K32" s="23">
        <f>'[1]CMF 10'!AJ32</f>
        <v>77</v>
      </c>
      <c r="L32" s="23">
        <f>'[1]CMF 11'!AJ32</f>
        <v>0</v>
      </c>
      <c r="M32" s="23"/>
      <c r="N32" s="23"/>
      <c r="O32" s="23"/>
      <c r="P32" s="23"/>
      <c r="Q32" s="22">
        <f>B32+C32+D32+E32+F32+G32+H32+I32+J32+K32+L32+M32+N32+O32+P32</f>
        <v>220</v>
      </c>
      <c r="R32" s="21"/>
      <c r="S32" s="6"/>
      <c r="T32" s="5"/>
    </row>
    <row r="33" spans="1:20" ht="30.75" customHeight="1" thickTop="1" thickBot="1" x14ac:dyDescent="0.3">
      <c r="A33" s="24" t="s">
        <v>118</v>
      </c>
      <c r="B33" s="23">
        <f>'[1]CMF 1 '!AJ33</f>
        <v>1</v>
      </c>
      <c r="C33" s="23">
        <f>'[1]CMF 2'!AJ33</f>
        <v>4</v>
      </c>
      <c r="D33" s="23">
        <f>'[1]CMF 3'!AJ33</f>
        <v>144</v>
      </c>
      <c r="E33" s="23">
        <f>'[1]CMF 4'!AJ33</f>
        <v>40</v>
      </c>
      <c r="F33" s="23">
        <f>'[1]CMF 5'!AJ33</f>
        <v>33</v>
      </c>
      <c r="G33" s="23">
        <f>'[1]CMF 6'!AJ33</f>
        <v>120</v>
      </c>
      <c r="H33" s="23">
        <f>'[1]CMF 7'!AJ33</f>
        <v>0</v>
      </c>
      <c r="I33" s="23">
        <f>'[1]CMF 8'!AJ33</f>
        <v>82</v>
      </c>
      <c r="J33" s="23">
        <f>'[1]CMF 9'!AJ33</f>
        <v>2</v>
      </c>
      <c r="K33" s="23">
        <f>'[1]CMF 10'!AJ33</f>
        <v>71</v>
      </c>
      <c r="L33" s="23">
        <f>'[1]CMF 11'!AJ33</f>
        <v>17</v>
      </c>
      <c r="M33" s="23"/>
      <c r="N33" s="23"/>
      <c r="O33" s="23"/>
      <c r="P33" s="23"/>
      <c r="Q33" s="22">
        <f>B33+C33+D33+E33+F33+G33+H33+I33+J33+K33+L33+M33+N33+O33+P33</f>
        <v>514</v>
      </c>
      <c r="R33" s="21"/>
      <c r="S33" s="6"/>
      <c r="T33" s="5"/>
    </row>
    <row r="34" spans="1:20" ht="30.75" customHeight="1" thickTop="1" thickBot="1" x14ac:dyDescent="0.3">
      <c r="A34" s="24" t="s">
        <v>117</v>
      </c>
      <c r="B34" s="23">
        <f>'[1]CMF 1 '!AJ34</f>
        <v>0</v>
      </c>
      <c r="C34" s="23">
        <f>'[1]CMF 2'!AJ34</f>
        <v>0</v>
      </c>
      <c r="D34" s="23">
        <f>'[1]CMF 3'!AJ34</f>
        <v>27</v>
      </c>
      <c r="E34" s="23">
        <f>'[1]CMF 4'!AJ34</f>
        <v>0</v>
      </c>
      <c r="F34" s="23">
        <f>'[1]CMF 5'!AJ34</f>
        <v>0</v>
      </c>
      <c r="G34" s="23">
        <f>'[1]CMF 6'!AJ34</f>
        <v>1</v>
      </c>
      <c r="H34" s="23">
        <f>'[1]CMF 7'!AJ34</f>
        <v>0</v>
      </c>
      <c r="I34" s="23">
        <f>'[1]CMF 8'!AJ34</f>
        <v>0</v>
      </c>
      <c r="J34" s="23">
        <f>'[1]CMF 9'!AJ34</f>
        <v>1</v>
      </c>
      <c r="K34" s="23">
        <f>'[1]CMF 10'!AJ34</f>
        <v>0</v>
      </c>
      <c r="L34" s="23">
        <f>'[1]CMF 11'!AJ34</f>
        <v>0</v>
      </c>
      <c r="M34" s="23"/>
      <c r="N34" s="23"/>
      <c r="O34" s="23"/>
      <c r="P34" s="23"/>
      <c r="Q34" s="22">
        <f>B34+C34+D34+E34+F34+G34+H34+I34+J34+K34+L34+M34+N34+O34+P34</f>
        <v>29</v>
      </c>
      <c r="R34" s="21"/>
      <c r="S34" s="6"/>
      <c r="T34" s="5"/>
    </row>
    <row r="35" spans="1:20" ht="30.75" customHeight="1" thickTop="1" thickBot="1" x14ac:dyDescent="0.3">
      <c r="A35" s="24" t="s">
        <v>116</v>
      </c>
      <c r="B35" s="23">
        <f>'[1]CMF 1 '!AJ35</f>
        <v>0</v>
      </c>
      <c r="C35" s="23">
        <f>'[1]CMF 2'!AJ35</f>
        <v>0</v>
      </c>
      <c r="D35" s="23">
        <f>'[1]CMF 3'!AJ35</f>
        <v>0</v>
      </c>
      <c r="E35" s="23">
        <f>'[1]CMF 4'!AJ35</f>
        <v>0</v>
      </c>
      <c r="F35" s="23">
        <f>'[1]CMF 5'!AJ35</f>
        <v>0</v>
      </c>
      <c r="G35" s="23">
        <f>'[1]CMF 6'!AJ35</f>
        <v>0</v>
      </c>
      <c r="H35" s="23">
        <f>'[1]CMF 7'!AJ35</f>
        <v>0</v>
      </c>
      <c r="I35" s="23">
        <f>'[1]CMF 8'!AJ35</f>
        <v>0</v>
      </c>
      <c r="J35" s="23">
        <f>'[1]CMF 9'!AJ35</f>
        <v>0</v>
      </c>
      <c r="K35" s="23">
        <f>'[1]CMF 10'!AJ35</f>
        <v>0</v>
      </c>
      <c r="L35" s="23">
        <f>'[1]CMF 11'!AJ35</f>
        <v>0</v>
      </c>
      <c r="M35" s="23"/>
      <c r="N35" s="23"/>
      <c r="O35" s="23"/>
      <c r="P35" s="23"/>
      <c r="Q35" s="22">
        <f>B35+C35+D35+E35+F35+G35+H35+I35+J35+K35+L35+M35+N35+O35+P35</f>
        <v>0</v>
      </c>
      <c r="R35" s="21"/>
      <c r="S35" s="6"/>
      <c r="T35" s="5"/>
    </row>
    <row r="36" spans="1:20" ht="30.75" customHeight="1" thickTop="1" thickBot="1" x14ac:dyDescent="0.3">
      <c r="A36" s="24" t="s">
        <v>115</v>
      </c>
      <c r="B36" s="23">
        <f>'[1]CMF 1 '!AJ36</f>
        <v>0</v>
      </c>
      <c r="C36" s="23">
        <f>'[1]CMF 2'!AJ36</f>
        <v>0</v>
      </c>
      <c r="D36" s="23">
        <f>'[1]CMF 3'!AJ36</f>
        <v>0</v>
      </c>
      <c r="E36" s="23">
        <f>'[1]CMF 4'!AJ36</f>
        <v>0</v>
      </c>
      <c r="F36" s="23">
        <f>'[1]CMF 5'!AJ36</f>
        <v>0</v>
      </c>
      <c r="G36" s="23">
        <f>'[1]CMF 6'!AJ36</f>
        <v>0</v>
      </c>
      <c r="H36" s="23">
        <f>'[1]CMF 7'!AJ36</f>
        <v>0</v>
      </c>
      <c r="I36" s="23">
        <f>'[1]CMF 8'!AJ36</f>
        <v>0</v>
      </c>
      <c r="J36" s="23">
        <f>'[1]CMF 9'!AJ36</f>
        <v>0</v>
      </c>
      <c r="K36" s="23">
        <f>'[1]CMF 10'!AJ36</f>
        <v>0</v>
      </c>
      <c r="L36" s="23">
        <f>'[1]CMF 11'!AJ36</f>
        <v>0</v>
      </c>
      <c r="M36" s="23"/>
      <c r="N36" s="23"/>
      <c r="O36" s="23"/>
      <c r="P36" s="23"/>
      <c r="Q36" s="22">
        <f>B36+C36+D36+E36+F36+G36+H36+I36+J36+K36+L36+M36+N36+O36+P36</f>
        <v>0</v>
      </c>
      <c r="R36" s="21"/>
      <c r="S36" s="6"/>
      <c r="T36" s="5"/>
    </row>
    <row r="37" spans="1:20" ht="30.75" customHeight="1" thickTop="1" thickBot="1" x14ac:dyDescent="0.3">
      <c r="A37" s="24" t="s">
        <v>114</v>
      </c>
      <c r="B37" s="23">
        <f>'[1]CMF 1 '!AJ37</f>
        <v>0</v>
      </c>
      <c r="C37" s="23">
        <f>'[1]CMF 2'!AJ37</f>
        <v>2</v>
      </c>
      <c r="D37" s="23">
        <f>'[1]CMF 3'!AJ37</f>
        <v>1</v>
      </c>
      <c r="E37" s="23">
        <f>'[1]CMF 4'!AJ37</f>
        <v>2</v>
      </c>
      <c r="F37" s="23">
        <f>'[1]CMF 5'!AJ37</f>
        <v>0</v>
      </c>
      <c r="G37" s="23">
        <f>'[1]CMF 6'!AJ37</f>
        <v>1</v>
      </c>
      <c r="H37" s="23">
        <f>'[1]CMF 7'!AJ37</f>
        <v>0</v>
      </c>
      <c r="I37" s="23">
        <f>'[1]CMF 8'!AJ37</f>
        <v>5</v>
      </c>
      <c r="J37" s="23">
        <f>'[1]CMF 9'!AJ37</f>
        <v>0</v>
      </c>
      <c r="K37" s="23">
        <f>'[1]CMF 10'!AJ37</f>
        <v>3</v>
      </c>
      <c r="L37" s="23">
        <f>'[1]CMF 11'!AJ37</f>
        <v>0</v>
      </c>
      <c r="M37" s="23"/>
      <c r="N37" s="23"/>
      <c r="O37" s="23"/>
      <c r="P37" s="23"/>
      <c r="Q37" s="22">
        <f>B37+C37+D37+E37+F37+G37+H37+I37+J37+K37+L37+M37+N37+O37+P37</f>
        <v>14</v>
      </c>
      <c r="R37" s="21"/>
      <c r="S37" s="6"/>
      <c r="T37" s="5"/>
    </row>
    <row r="38" spans="1:20" ht="30.75" customHeight="1" thickTop="1" thickBot="1" x14ac:dyDescent="0.3">
      <c r="A38" s="24" t="s">
        <v>113</v>
      </c>
      <c r="B38" s="23">
        <f>'[1]CMF 1 '!AJ38</f>
        <v>0</v>
      </c>
      <c r="C38" s="23">
        <f>'[1]CMF 2'!AJ38</f>
        <v>0</v>
      </c>
      <c r="D38" s="23">
        <f>'[1]CMF 3'!AJ38</f>
        <v>0</v>
      </c>
      <c r="E38" s="23">
        <f>'[1]CMF 4'!AJ38</f>
        <v>0</v>
      </c>
      <c r="F38" s="23">
        <f>'[1]CMF 5'!AJ38</f>
        <v>0</v>
      </c>
      <c r="G38" s="23">
        <f>'[1]CMF 6'!AJ38</f>
        <v>0</v>
      </c>
      <c r="H38" s="23">
        <f>'[1]CMF 7'!AJ38</f>
        <v>0</v>
      </c>
      <c r="I38" s="23">
        <f>'[1]CMF 8'!AJ38</f>
        <v>0</v>
      </c>
      <c r="J38" s="23">
        <f>'[1]CMF 9'!AJ38</f>
        <v>0</v>
      </c>
      <c r="K38" s="23">
        <f>'[1]CMF 10'!AJ38</f>
        <v>0</v>
      </c>
      <c r="L38" s="23">
        <f>'[1]CMF 11'!AJ38</f>
        <v>0</v>
      </c>
      <c r="M38" s="23"/>
      <c r="N38" s="23"/>
      <c r="O38" s="23"/>
      <c r="P38" s="23"/>
      <c r="Q38" s="22">
        <f>B38+C38+D38+E38+F38+G38+H38+I38+J38+K38+L38+M38+N38+O38+P38</f>
        <v>0</v>
      </c>
      <c r="R38" s="21"/>
      <c r="S38" s="6"/>
      <c r="T38" s="5"/>
    </row>
    <row r="39" spans="1:20" ht="30.75" customHeight="1" thickTop="1" thickBot="1" x14ac:dyDescent="0.3">
      <c r="A39" s="24" t="s">
        <v>112</v>
      </c>
      <c r="B39" s="23">
        <f>'[1]CMF 1 '!AJ39</f>
        <v>0</v>
      </c>
      <c r="C39" s="23">
        <f>'[1]CMF 2'!AJ39</f>
        <v>0</v>
      </c>
      <c r="D39" s="23">
        <f>'[1]CMF 3'!AJ39</f>
        <v>0</v>
      </c>
      <c r="E39" s="23">
        <f>'[1]CMF 4'!AJ39</f>
        <v>0</v>
      </c>
      <c r="F39" s="23">
        <f>'[1]CMF 5'!AJ39</f>
        <v>0</v>
      </c>
      <c r="G39" s="23">
        <f>'[1]CMF 6'!AJ39</f>
        <v>0</v>
      </c>
      <c r="H39" s="23">
        <f>'[1]CMF 7'!AJ39</f>
        <v>0</v>
      </c>
      <c r="I39" s="23">
        <f>'[1]CMF 8'!AJ39</f>
        <v>0</v>
      </c>
      <c r="J39" s="23">
        <f>'[1]CMF 9'!AJ39</f>
        <v>0</v>
      </c>
      <c r="K39" s="23">
        <f>'[1]CMF 10'!AJ39</f>
        <v>0</v>
      </c>
      <c r="L39" s="23">
        <f>'[1]CMF 11'!AJ39</f>
        <v>0</v>
      </c>
      <c r="M39" s="23"/>
      <c r="N39" s="23"/>
      <c r="O39" s="23"/>
      <c r="P39" s="23"/>
      <c r="Q39" s="22">
        <f>B39+C39+D39+E39+F39+G39+H39+I39+J39+K39+L39+M39+N39+O39+P39</f>
        <v>0</v>
      </c>
      <c r="R39" s="21"/>
      <c r="S39" s="6"/>
      <c r="T39" s="5"/>
    </row>
    <row r="40" spans="1:20" ht="30.75" customHeight="1" thickTop="1" thickBot="1" x14ac:dyDescent="0.3">
      <c r="A40" s="68" t="s">
        <v>111</v>
      </c>
      <c r="B40" s="22">
        <f t="shared" ref="B40:L40" si="6">SUM(B41+B42+B43+B44+B45+B46+B47+B48+B49+B50+B51+B52)</f>
        <v>1</v>
      </c>
      <c r="C40" s="22">
        <f t="shared" si="6"/>
        <v>3</v>
      </c>
      <c r="D40" s="22">
        <f t="shared" si="6"/>
        <v>0</v>
      </c>
      <c r="E40" s="22">
        <f t="shared" si="6"/>
        <v>2</v>
      </c>
      <c r="F40" s="22">
        <f t="shared" si="6"/>
        <v>1</v>
      </c>
      <c r="G40" s="22">
        <f t="shared" si="6"/>
        <v>0</v>
      </c>
      <c r="H40" s="22">
        <f t="shared" si="6"/>
        <v>0</v>
      </c>
      <c r="I40" s="22">
        <f t="shared" si="6"/>
        <v>0</v>
      </c>
      <c r="J40" s="22">
        <f t="shared" si="6"/>
        <v>1</v>
      </c>
      <c r="K40" s="22">
        <f t="shared" si="6"/>
        <v>3</v>
      </c>
      <c r="L40" s="22">
        <f t="shared" si="6"/>
        <v>0</v>
      </c>
      <c r="M40" s="22"/>
      <c r="N40" s="22"/>
      <c r="O40" s="22"/>
      <c r="P40" s="22"/>
      <c r="Q40" s="22">
        <f>B40+C40+D40+E40+F40+G40+H40+I40+J40+K40+L40+M40+N40+O40+P40</f>
        <v>11</v>
      </c>
      <c r="R40" s="6"/>
      <c r="S40" s="6"/>
      <c r="T40" s="5"/>
    </row>
    <row r="41" spans="1:20" ht="30.75" customHeight="1" thickTop="1" thickBot="1" x14ac:dyDescent="0.3">
      <c r="A41" s="98" t="s">
        <v>110</v>
      </c>
      <c r="B41" s="97">
        <f>'[1]CMF 1 '!AJ41</f>
        <v>1</v>
      </c>
      <c r="C41" s="97">
        <f>'[1]CMF 2'!AJ41</f>
        <v>0</v>
      </c>
      <c r="D41" s="97">
        <f>'[1]CMF 3'!AJ41</f>
        <v>0</v>
      </c>
      <c r="E41" s="97">
        <f>'[1]CMF 4'!AJ41</f>
        <v>2</v>
      </c>
      <c r="F41" s="97">
        <f>'[1]CMF 5'!AJ41</f>
        <v>0</v>
      </c>
      <c r="G41" s="97">
        <f>'[1]CMF 6'!AJ41</f>
        <v>0</v>
      </c>
      <c r="H41" s="97">
        <f>'[1]CMF 7'!AJ41</f>
        <v>0</v>
      </c>
      <c r="I41" s="97">
        <f>'[1]CMF 8'!AJ41</f>
        <v>0</v>
      </c>
      <c r="J41" s="97">
        <f>'[1]CMF 9'!AJ41</f>
        <v>1</v>
      </c>
      <c r="K41" s="97">
        <f>'[1]CMF 10'!AJ41</f>
        <v>2</v>
      </c>
      <c r="L41" s="97">
        <f>'[1]CMF 11'!AJ41</f>
        <v>0</v>
      </c>
      <c r="M41" s="97"/>
      <c r="N41" s="97"/>
      <c r="O41" s="97"/>
      <c r="P41" s="97"/>
      <c r="Q41" s="22">
        <f>B41+C41+D41+E41+F41+G41+H41+I41+J41+K41+L41+M41+N41+O41+P41</f>
        <v>6</v>
      </c>
      <c r="R41" s="6"/>
      <c r="S41" s="6"/>
      <c r="T41" s="5"/>
    </row>
    <row r="42" spans="1:20" ht="30.75" customHeight="1" thickTop="1" thickBot="1" x14ac:dyDescent="0.3">
      <c r="A42" s="98" t="s">
        <v>109</v>
      </c>
      <c r="B42" s="97">
        <f>'[1]CMF 1 '!AJ42</f>
        <v>0</v>
      </c>
      <c r="C42" s="97">
        <f>'[1]CMF 2'!AJ42</f>
        <v>0</v>
      </c>
      <c r="D42" s="97">
        <f>'[1]CMF 3'!AJ42</f>
        <v>0</v>
      </c>
      <c r="E42" s="97">
        <f>'[1]CMF 4'!AJ42</f>
        <v>0</v>
      </c>
      <c r="F42" s="97">
        <f>'[1]CMF 5'!AJ42</f>
        <v>1</v>
      </c>
      <c r="G42" s="97">
        <f>'[1]CMF 6'!AJ42</f>
        <v>0</v>
      </c>
      <c r="H42" s="97">
        <f>'[1]CMF 7'!AJ42</f>
        <v>0</v>
      </c>
      <c r="I42" s="97">
        <f>'[1]CMF 8'!AJ42</f>
        <v>0</v>
      </c>
      <c r="J42" s="97">
        <f>'[1]CMF 9'!AJ42</f>
        <v>0</v>
      </c>
      <c r="K42" s="97">
        <f>'[1]CMF 10'!AJ42</f>
        <v>0</v>
      </c>
      <c r="L42" s="97">
        <f>'[1]CMF 11'!AJ42</f>
        <v>0</v>
      </c>
      <c r="M42" s="97"/>
      <c r="N42" s="97"/>
      <c r="O42" s="97"/>
      <c r="P42" s="97"/>
      <c r="Q42" s="22">
        <f>B42+C42+D42+E42+F42+G42+H42+I42+J42+K42+L42+M42+N42+O42+P42</f>
        <v>1</v>
      </c>
      <c r="R42" s="6"/>
      <c r="S42" s="6"/>
      <c r="T42" s="5"/>
    </row>
    <row r="43" spans="1:20" ht="30.75" customHeight="1" thickTop="1" thickBot="1" x14ac:dyDescent="0.3">
      <c r="A43" s="98" t="s">
        <v>108</v>
      </c>
      <c r="B43" s="97">
        <f>'[1]CMF 1 '!AJ43</f>
        <v>0</v>
      </c>
      <c r="C43" s="97">
        <f>'[1]CMF 2'!AJ43</f>
        <v>0</v>
      </c>
      <c r="D43" s="97">
        <f>'[1]CMF 3'!AJ43</f>
        <v>0</v>
      </c>
      <c r="E43" s="97">
        <f>'[1]CMF 4'!AJ43</f>
        <v>0</v>
      </c>
      <c r="F43" s="97">
        <f>'[1]CMF 5'!AJ43</f>
        <v>0</v>
      </c>
      <c r="G43" s="97">
        <f>'[1]CMF 6'!AJ43</f>
        <v>0</v>
      </c>
      <c r="H43" s="97">
        <f>'[1]CMF 7'!AJ43</f>
        <v>0</v>
      </c>
      <c r="I43" s="97">
        <f>'[1]CMF 8'!AJ43</f>
        <v>0</v>
      </c>
      <c r="J43" s="97">
        <f>'[1]CMF 9'!AJ43</f>
        <v>0</v>
      </c>
      <c r="K43" s="97">
        <f>'[1]CMF 10'!AJ43</f>
        <v>0</v>
      </c>
      <c r="L43" s="97">
        <f>'[1]CMF 11'!AJ43</f>
        <v>0</v>
      </c>
      <c r="M43" s="97"/>
      <c r="N43" s="97"/>
      <c r="O43" s="97"/>
      <c r="P43" s="97"/>
      <c r="Q43" s="22">
        <f>B43+C43+D43+E43+F43+G43+H43+I43+J43+K43+L43+M43+N43+O43+P43</f>
        <v>0</v>
      </c>
      <c r="R43" s="6"/>
      <c r="S43" s="6"/>
      <c r="T43" s="5"/>
    </row>
    <row r="44" spans="1:20" ht="30.75" customHeight="1" thickTop="1" thickBot="1" x14ac:dyDescent="0.3">
      <c r="A44" s="98" t="s">
        <v>107</v>
      </c>
      <c r="B44" s="97">
        <f>'[1]CMF 1 '!AJ44</f>
        <v>0</v>
      </c>
      <c r="C44" s="97">
        <f>'[1]CMF 2'!AJ44</f>
        <v>0</v>
      </c>
      <c r="D44" s="97">
        <f>'[1]CMF 3'!AJ44</f>
        <v>0</v>
      </c>
      <c r="E44" s="97">
        <f>'[1]CMF 4'!AJ44</f>
        <v>0</v>
      </c>
      <c r="F44" s="97">
        <f>'[1]CMF 5'!AJ44</f>
        <v>0</v>
      </c>
      <c r="G44" s="97">
        <f>'[1]CMF 6'!AJ44</f>
        <v>0</v>
      </c>
      <c r="H44" s="97">
        <f>'[1]CMF 7'!AJ44</f>
        <v>0</v>
      </c>
      <c r="I44" s="97">
        <f>'[1]CMF 8'!AJ44</f>
        <v>0</v>
      </c>
      <c r="J44" s="97">
        <f>'[1]CMF 9'!AJ44</f>
        <v>0</v>
      </c>
      <c r="K44" s="97">
        <f>'[1]CMF 10'!AJ44</f>
        <v>0</v>
      </c>
      <c r="L44" s="97">
        <f>'[1]CMF 11'!AJ44</f>
        <v>0</v>
      </c>
      <c r="M44" s="97"/>
      <c r="N44" s="97"/>
      <c r="O44" s="97"/>
      <c r="P44" s="97"/>
      <c r="Q44" s="22">
        <f>B44+C44+D44+E44+F44+G44+H44+I44+J44+K44+L44+M44+N44+O44+P44</f>
        <v>0</v>
      </c>
      <c r="R44" s="6"/>
      <c r="S44" s="6"/>
      <c r="T44" s="5"/>
    </row>
    <row r="45" spans="1:20" ht="30.75" customHeight="1" thickTop="1" thickBot="1" x14ac:dyDescent="0.3">
      <c r="A45" s="98" t="s">
        <v>106</v>
      </c>
      <c r="B45" s="97">
        <f>'[1]CMF 1 '!AJ45</f>
        <v>0</v>
      </c>
      <c r="C45" s="97">
        <f>'[1]CMF 2'!AJ45</f>
        <v>0</v>
      </c>
      <c r="D45" s="97">
        <f>'[1]CMF 3'!AJ45</f>
        <v>0</v>
      </c>
      <c r="E45" s="97">
        <f>'[1]CMF 4'!AJ45</f>
        <v>0</v>
      </c>
      <c r="F45" s="97">
        <f>'[1]CMF 5'!AJ45</f>
        <v>0</v>
      </c>
      <c r="G45" s="97">
        <f>'[1]CMF 6'!AJ45</f>
        <v>0</v>
      </c>
      <c r="H45" s="97">
        <f>'[1]CMF 7'!AJ45</f>
        <v>0</v>
      </c>
      <c r="I45" s="97">
        <f>'[1]CMF 8'!AJ45</f>
        <v>0</v>
      </c>
      <c r="J45" s="97">
        <f>'[1]CMF 9'!AJ45</f>
        <v>0</v>
      </c>
      <c r="K45" s="97">
        <f>'[1]CMF 10'!AJ45</f>
        <v>0</v>
      </c>
      <c r="L45" s="97">
        <f>'[1]CMF 11'!AJ45</f>
        <v>0</v>
      </c>
      <c r="M45" s="97"/>
      <c r="N45" s="97"/>
      <c r="O45" s="97"/>
      <c r="P45" s="97"/>
      <c r="Q45" s="22">
        <f>B45+C45+D45+E45+F45+G45+H45+I45+J45+K45+L45+M45+N45+O45+P45</f>
        <v>0</v>
      </c>
      <c r="R45" s="6"/>
      <c r="S45" s="6"/>
      <c r="T45" s="5"/>
    </row>
    <row r="46" spans="1:20" ht="30.75" customHeight="1" thickTop="1" thickBot="1" x14ac:dyDescent="0.3">
      <c r="A46" s="98" t="s">
        <v>105</v>
      </c>
      <c r="B46" s="97">
        <f>'[1]CMF 1 '!AJ46</f>
        <v>0</v>
      </c>
      <c r="C46" s="97">
        <f>'[1]CMF 2'!AJ46</f>
        <v>0</v>
      </c>
      <c r="D46" s="97">
        <f>'[1]CMF 3'!AJ46</f>
        <v>0</v>
      </c>
      <c r="E46" s="97">
        <f>'[1]CMF 4'!AJ46</f>
        <v>0</v>
      </c>
      <c r="F46" s="97">
        <f>'[1]CMF 5'!AJ46</f>
        <v>0</v>
      </c>
      <c r="G46" s="97">
        <f>'[1]CMF 6'!AJ46</f>
        <v>0</v>
      </c>
      <c r="H46" s="97">
        <f>'[1]CMF 7'!AJ46</f>
        <v>0</v>
      </c>
      <c r="I46" s="97">
        <f>'[1]CMF 8'!AJ46</f>
        <v>0</v>
      </c>
      <c r="J46" s="97">
        <f>'[1]CMF 9'!AJ46</f>
        <v>0</v>
      </c>
      <c r="K46" s="97">
        <f>'[1]CMF 10'!AJ46</f>
        <v>0</v>
      </c>
      <c r="L46" s="97">
        <f>'[1]CMF 11'!AJ46</f>
        <v>0</v>
      </c>
      <c r="M46" s="97"/>
      <c r="N46" s="97"/>
      <c r="O46" s="97"/>
      <c r="P46" s="97"/>
      <c r="Q46" s="22">
        <f>B46+C46+D46+E46+F46+G46+H46+I46+J46+K46+L46+M46+N46+O46+P46</f>
        <v>0</v>
      </c>
      <c r="R46" s="6"/>
      <c r="S46" s="6"/>
      <c r="T46" s="5"/>
    </row>
    <row r="47" spans="1:20" ht="30.75" customHeight="1" thickTop="1" thickBot="1" x14ac:dyDescent="0.3">
      <c r="A47" s="98" t="s">
        <v>82</v>
      </c>
      <c r="B47" s="97">
        <f>'[1]CMF 1 '!AJ47</f>
        <v>0</v>
      </c>
      <c r="C47" s="97">
        <f>'[1]CMF 2'!AJ47</f>
        <v>2</v>
      </c>
      <c r="D47" s="97">
        <f>'[1]CMF 3'!AJ47</f>
        <v>0</v>
      </c>
      <c r="E47" s="97">
        <f>'[1]CMF 4'!AJ47</f>
        <v>0</v>
      </c>
      <c r="F47" s="97">
        <f>'[1]CMF 5'!AJ47</f>
        <v>0</v>
      </c>
      <c r="G47" s="97">
        <f>'[1]CMF 6'!AJ47</f>
        <v>0</v>
      </c>
      <c r="H47" s="97">
        <f>'[1]CMF 7'!AJ47</f>
        <v>0</v>
      </c>
      <c r="I47" s="97">
        <f>'[1]CMF 8'!AJ47</f>
        <v>0</v>
      </c>
      <c r="J47" s="97">
        <f>'[1]CMF 9'!AJ47</f>
        <v>0</v>
      </c>
      <c r="K47" s="97">
        <f>'[1]CMF 10'!AJ47</f>
        <v>0</v>
      </c>
      <c r="L47" s="97">
        <f>'[1]CMF 11'!AJ47</f>
        <v>0</v>
      </c>
      <c r="M47" s="97"/>
      <c r="N47" s="97"/>
      <c r="O47" s="97"/>
      <c r="P47" s="97"/>
      <c r="Q47" s="22">
        <f>B47+C47+D47+E47+F47+G47+H47+I47+J47+K47+L47+M47+N47+O47+P47</f>
        <v>2</v>
      </c>
      <c r="R47" s="6"/>
      <c r="S47" s="6"/>
      <c r="T47" s="5"/>
    </row>
    <row r="48" spans="1:20" ht="30.75" customHeight="1" thickTop="1" thickBot="1" x14ac:dyDescent="0.3">
      <c r="A48" s="98" t="s">
        <v>104</v>
      </c>
      <c r="B48" s="97">
        <f>'[1]CMF 1 '!AJ48</f>
        <v>0</v>
      </c>
      <c r="C48" s="97">
        <f>'[1]CMF 2'!AJ48</f>
        <v>0</v>
      </c>
      <c r="D48" s="97">
        <f>'[1]CMF 3'!AJ48</f>
        <v>0</v>
      </c>
      <c r="E48" s="97">
        <f>'[1]CMF 4'!AJ48</f>
        <v>0</v>
      </c>
      <c r="F48" s="97">
        <f>'[1]CMF 5'!AJ48</f>
        <v>0</v>
      </c>
      <c r="G48" s="97">
        <f>'[1]CMF 6'!AJ48</f>
        <v>0</v>
      </c>
      <c r="H48" s="97">
        <f>'[1]CMF 7'!AJ48</f>
        <v>0</v>
      </c>
      <c r="I48" s="97">
        <f>'[1]CMF 8'!AJ48</f>
        <v>0</v>
      </c>
      <c r="J48" s="97">
        <f>'[1]CMF 9'!AJ48</f>
        <v>0</v>
      </c>
      <c r="K48" s="97">
        <f>'[1]CMF 10'!AJ48</f>
        <v>0</v>
      </c>
      <c r="L48" s="97">
        <f>'[1]CMF 11'!AJ48</f>
        <v>0</v>
      </c>
      <c r="M48" s="97"/>
      <c r="N48" s="97"/>
      <c r="O48" s="97"/>
      <c r="P48" s="97"/>
      <c r="Q48" s="22">
        <f>B48+C48+D48+E48+F48+G48+H48+I48+J48+K48+L48+M48+N48+O48+P48</f>
        <v>0</v>
      </c>
      <c r="R48" s="6"/>
      <c r="S48" s="6"/>
      <c r="T48" s="5"/>
    </row>
    <row r="49" spans="1:20" s="2" customFormat="1" ht="30.75" customHeight="1" thickTop="1" thickBot="1" x14ac:dyDescent="0.3">
      <c r="A49" s="98" t="s">
        <v>103</v>
      </c>
      <c r="B49" s="97">
        <f>'[1]CMF 1 '!AJ49</f>
        <v>0</v>
      </c>
      <c r="C49" s="97">
        <f>'[1]CMF 2'!AJ49</f>
        <v>0</v>
      </c>
      <c r="D49" s="97">
        <f>'[1]CMF 3'!AJ49</f>
        <v>0</v>
      </c>
      <c r="E49" s="97">
        <f>'[1]CMF 4'!AJ49</f>
        <v>0</v>
      </c>
      <c r="F49" s="97">
        <f>'[1]CMF 5'!AJ49</f>
        <v>0</v>
      </c>
      <c r="G49" s="97">
        <f>'[1]CMF 6'!AJ49</f>
        <v>0</v>
      </c>
      <c r="H49" s="97">
        <f>'[1]CMF 7'!AJ49</f>
        <v>0</v>
      </c>
      <c r="I49" s="97">
        <f>'[1]CMF 8'!AJ49</f>
        <v>0</v>
      </c>
      <c r="J49" s="97">
        <f>'[1]CMF 9'!AJ49</f>
        <v>0</v>
      </c>
      <c r="K49" s="97">
        <f>'[1]CMF 10'!AJ49</f>
        <v>0</v>
      </c>
      <c r="L49" s="97">
        <f>'[1]CMF 11'!AJ49</f>
        <v>0</v>
      </c>
      <c r="M49" s="97"/>
      <c r="N49" s="97"/>
      <c r="O49" s="97"/>
      <c r="P49" s="97"/>
      <c r="Q49" s="22">
        <f>B49+C49+D49+E49+F49+G49+H49+I49+J49+K49+L49+M49+N49+O49+P49</f>
        <v>0</v>
      </c>
      <c r="R49" s="6"/>
      <c r="S49" s="6"/>
      <c r="T49" s="6"/>
    </row>
    <row r="50" spans="1:20" s="2" customFormat="1" ht="30.75" customHeight="1" thickTop="1" thickBot="1" x14ac:dyDescent="0.3">
      <c r="A50" s="98" t="s">
        <v>102</v>
      </c>
      <c r="B50" s="97">
        <f>'[1]CMF 1 '!AJ50</f>
        <v>0</v>
      </c>
      <c r="C50" s="97">
        <f>'[1]CMF 2'!AJ50</f>
        <v>1</v>
      </c>
      <c r="D50" s="97">
        <f>'[1]CMF 3'!AJ50</f>
        <v>0</v>
      </c>
      <c r="E50" s="97">
        <f>'[1]CMF 4'!AJ50</f>
        <v>0</v>
      </c>
      <c r="F50" s="97">
        <f>'[1]CMF 5'!AJ50</f>
        <v>0</v>
      </c>
      <c r="G50" s="97">
        <f>'[1]CMF 6'!AJ50</f>
        <v>0</v>
      </c>
      <c r="H50" s="97">
        <f>'[1]CMF 7'!AJ50</f>
        <v>0</v>
      </c>
      <c r="I50" s="97">
        <f>'[1]CMF 8'!AJ50</f>
        <v>0</v>
      </c>
      <c r="J50" s="97">
        <f>'[1]CMF 9'!AJ50</f>
        <v>0</v>
      </c>
      <c r="K50" s="97">
        <f>'[1]CMF 10'!AJ50</f>
        <v>1</v>
      </c>
      <c r="L50" s="97">
        <f>'[1]CMF 11'!AJ50</f>
        <v>0</v>
      </c>
      <c r="M50" s="97"/>
      <c r="N50" s="97"/>
      <c r="O50" s="97"/>
      <c r="P50" s="97"/>
      <c r="Q50" s="22">
        <f>B50+C50+D50+E50+F50+G50+H50+I50+J50+K50+L50+M50+N50+O50+P50</f>
        <v>2</v>
      </c>
      <c r="R50" s="6"/>
      <c r="S50" s="6"/>
      <c r="T50" s="6"/>
    </row>
    <row r="51" spans="1:20" s="2" customFormat="1" ht="30.75" customHeight="1" thickTop="1" thickBot="1" x14ac:dyDescent="0.3">
      <c r="A51" s="98" t="s">
        <v>101</v>
      </c>
      <c r="B51" s="97">
        <f>'[1]CMF 1 '!AJ51</f>
        <v>0</v>
      </c>
      <c r="C51" s="97">
        <f>'[1]CMF 2'!AJ51</f>
        <v>0</v>
      </c>
      <c r="D51" s="97">
        <f>'[1]CMF 3'!AJ51</f>
        <v>0</v>
      </c>
      <c r="E51" s="97">
        <f>'[1]CMF 4'!AJ51</f>
        <v>0</v>
      </c>
      <c r="F51" s="97">
        <f>'[1]CMF 5'!AJ51</f>
        <v>0</v>
      </c>
      <c r="G51" s="97">
        <f>'[1]CMF 6'!AJ51</f>
        <v>0</v>
      </c>
      <c r="H51" s="97">
        <f>'[1]CMF 7'!AJ51</f>
        <v>0</v>
      </c>
      <c r="I51" s="97">
        <f>'[1]CMF 8'!AJ51</f>
        <v>0</v>
      </c>
      <c r="J51" s="97">
        <f>'[1]CMF 9'!AJ51</f>
        <v>0</v>
      </c>
      <c r="K51" s="97">
        <f>'[1]CMF 10'!AJ51</f>
        <v>0</v>
      </c>
      <c r="L51" s="97">
        <f>'[1]CMF 11'!AJ51</f>
        <v>0</v>
      </c>
      <c r="M51" s="97"/>
      <c r="N51" s="97"/>
      <c r="O51" s="97"/>
      <c r="P51" s="97"/>
      <c r="Q51" s="22">
        <f>B51+C51+D51+E51+F51+G51+H51+I51+J51+K51+L51+M51+N51+O51+P51</f>
        <v>0</v>
      </c>
      <c r="R51" s="6"/>
      <c r="S51" s="6"/>
      <c r="T51" s="6"/>
    </row>
    <row r="52" spans="1:20" s="2" customFormat="1" ht="30.75" customHeight="1" thickTop="1" thickBot="1" x14ac:dyDescent="0.3">
      <c r="A52" s="98" t="s">
        <v>100</v>
      </c>
      <c r="B52" s="97">
        <f>'[1]CMF 1 '!AJ52</f>
        <v>0</v>
      </c>
      <c r="C52" s="97">
        <f>'[1]CMF 2'!AJ52</f>
        <v>0</v>
      </c>
      <c r="D52" s="97">
        <f>'[1]CMF 3'!AJ52</f>
        <v>0</v>
      </c>
      <c r="E52" s="97">
        <f>'[1]CMF 4'!AJ52</f>
        <v>0</v>
      </c>
      <c r="F52" s="97">
        <f>'[1]CMF 5'!AJ52</f>
        <v>0</v>
      </c>
      <c r="G52" s="97">
        <f>'[1]CMF 6'!AJ52</f>
        <v>0</v>
      </c>
      <c r="H52" s="97">
        <f>'[1]CMF 7'!AJ52</f>
        <v>0</v>
      </c>
      <c r="I52" s="97">
        <f>'[1]CMF 8'!AJ52</f>
        <v>0</v>
      </c>
      <c r="J52" s="97">
        <f>'[1]CMF 9'!AJ52</f>
        <v>0</v>
      </c>
      <c r="K52" s="97">
        <f>'[1]CMF 10'!AJ52</f>
        <v>0</v>
      </c>
      <c r="L52" s="97">
        <f>'[1]CMF 11'!AJ52</f>
        <v>0</v>
      </c>
      <c r="M52" s="97"/>
      <c r="N52" s="97"/>
      <c r="O52" s="97"/>
      <c r="P52" s="97"/>
      <c r="Q52" s="22">
        <f>B52+C52+D52+E52+F52+G52+H52+I52+J52+K52+L52+M52+N52+O52+P52</f>
        <v>0</v>
      </c>
      <c r="R52" s="6"/>
      <c r="S52" s="6"/>
      <c r="T52" s="6"/>
    </row>
    <row r="53" spans="1:20" s="2" customFormat="1" ht="30.75" customHeight="1" thickTop="1" thickBot="1" x14ac:dyDescent="0.3">
      <c r="A53" s="96" t="s">
        <v>99</v>
      </c>
      <c r="B53" s="95">
        <f>'[1]CMF 1 '!AJ53</f>
        <v>6</v>
      </c>
      <c r="C53" s="95">
        <f>'[1]CMF 2'!AJ53</f>
        <v>6</v>
      </c>
      <c r="D53" s="95">
        <f>'[1]CMF 3'!AJ53</f>
        <v>6</v>
      </c>
      <c r="E53" s="95">
        <f>'[1]CMF 4'!AJ53</f>
        <v>6</v>
      </c>
      <c r="F53" s="95">
        <f>'[1]CMF 5'!AJ53</f>
        <v>6</v>
      </c>
      <c r="G53" s="95">
        <f>'[1]CMF 6'!AJ53</f>
        <v>6</v>
      </c>
      <c r="H53" s="95">
        <f>'[1]CMF 7'!AJ53</f>
        <v>6</v>
      </c>
      <c r="I53" s="95">
        <f>'[1]CMF 8'!AJ53</f>
        <v>6</v>
      </c>
      <c r="J53" s="95">
        <f>'[1]CMF 9'!AJ53</f>
        <v>6</v>
      </c>
      <c r="K53" s="95">
        <f>'[1]CMF 10'!AJ53</f>
        <v>6</v>
      </c>
      <c r="L53" s="95">
        <f>'[1]CMF 11'!AJ53</f>
        <v>6</v>
      </c>
      <c r="M53" s="95"/>
      <c r="N53" s="95"/>
      <c r="O53" s="95"/>
      <c r="P53" s="95"/>
      <c r="Q53" s="95">
        <f>B53+C53+D53+E53+F53+G53+H53+I53+J53+K53+L53+M53+N53+O53+P53</f>
        <v>66</v>
      </c>
      <c r="R53" s="6"/>
      <c r="S53" s="6"/>
      <c r="T53" s="6"/>
    </row>
    <row r="54" spans="1:20" s="2" customFormat="1" ht="30.75" customHeight="1" thickTop="1" thickBot="1" x14ac:dyDescent="0.3">
      <c r="A54" s="96" t="s">
        <v>98</v>
      </c>
      <c r="B54" s="95">
        <f>'[1]CMF 1 '!AJ54</f>
        <v>30</v>
      </c>
      <c r="C54" s="95">
        <f>'[1]CMF 2'!AJ54</f>
        <v>36</v>
      </c>
      <c r="D54" s="95">
        <f>'[1]CMF 3'!AJ54</f>
        <v>28</v>
      </c>
      <c r="E54" s="95">
        <f>'[1]CMF 4'!AJ54</f>
        <v>51</v>
      </c>
      <c r="F54" s="95">
        <f>'[1]CMF 5'!AJ54</f>
        <v>0</v>
      </c>
      <c r="G54" s="95">
        <f>'[1]CMF 6'!AJ54</f>
        <v>52</v>
      </c>
      <c r="H54" s="95">
        <f>'[1]CMF 7'!AJ54</f>
        <v>35</v>
      </c>
      <c r="I54" s="95">
        <f>'[1]CMF 8'!AJ54</f>
        <v>43</v>
      </c>
      <c r="J54" s="95">
        <f>'[1]CMF 9'!AJ54</f>
        <v>10</v>
      </c>
      <c r="K54" s="95">
        <f>'[1]CMF 10'!AJ54</f>
        <v>37</v>
      </c>
      <c r="L54" s="95">
        <f>'[1]CMF 11'!AJ54</f>
        <v>25</v>
      </c>
      <c r="M54" s="95"/>
      <c r="N54" s="95"/>
      <c r="O54" s="95"/>
      <c r="P54" s="95"/>
      <c r="Q54" s="95">
        <f>B54+C54+D54+E54+F54+G54+H54+I54+J54+K54+L54+M54+N54+O54+P54</f>
        <v>347</v>
      </c>
      <c r="R54" s="6"/>
      <c r="S54" s="6"/>
      <c r="T54" s="6"/>
    </row>
    <row r="55" spans="1:20" s="2" customFormat="1" ht="30.75" customHeight="1" thickTop="1" thickBot="1" x14ac:dyDescent="0.3">
      <c r="A55" s="94" t="s">
        <v>97</v>
      </c>
      <c r="B55" s="93">
        <f>'[1]CMF 1 '!AJ55</f>
        <v>0</v>
      </c>
      <c r="C55" s="93">
        <f>'[1]CMF 2'!AJ55</f>
        <v>0</v>
      </c>
      <c r="D55" s="93">
        <f>'[1]CMF 3'!AJ55</f>
        <v>0</v>
      </c>
      <c r="E55" s="93">
        <f>'[1]CMF 4'!AJ55</f>
        <v>0</v>
      </c>
      <c r="F55" s="93">
        <f>'[1]CMF 5'!AJ55</f>
        <v>0</v>
      </c>
      <c r="G55" s="93">
        <f>'[1]CMF 6'!AJ55</f>
        <v>0</v>
      </c>
      <c r="H55" s="93">
        <f>'[1]CMF 7'!AJ55</f>
        <v>0</v>
      </c>
      <c r="I55" s="93">
        <f>'[1]CMF 8'!AJ55</f>
        <v>0</v>
      </c>
      <c r="J55" s="93">
        <f>'[1]CMF 9'!AJ55</f>
        <v>0</v>
      </c>
      <c r="K55" s="93">
        <f>'[1]CMF 10'!AJ55</f>
        <v>0</v>
      </c>
      <c r="L55" s="93">
        <f>'[1]CMF 11'!AJ55</f>
        <v>0</v>
      </c>
      <c r="M55" s="93"/>
      <c r="N55" s="93"/>
      <c r="O55" s="93"/>
      <c r="P55" s="93"/>
      <c r="Q55" s="93">
        <f>B55+C55+D55+E55+F55+G55+H55+I55+J55+K55+L55+M55+N55+O55+P55</f>
        <v>0</v>
      </c>
      <c r="R55" s="6"/>
      <c r="S55" s="6"/>
      <c r="T55" s="6"/>
    </row>
    <row r="56" spans="1:20" s="2" customFormat="1" ht="30.75" customHeight="1" thickTop="1" thickBot="1" x14ac:dyDescent="0.3">
      <c r="A56" s="92" t="s">
        <v>96</v>
      </c>
      <c r="B56" s="91">
        <f>'[1]CMF 1 '!AJ56</f>
        <v>30</v>
      </c>
      <c r="C56" s="91">
        <f>'[1]CMF 2'!AJ56</f>
        <v>39</v>
      </c>
      <c r="D56" s="91">
        <f>'[1]CMF 3'!AJ56</f>
        <v>0</v>
      </c>
      <c r="E56" s="91">
        <f>'[1]CMF 4'!AJ56</f>
        <v>55</v>
      </c>
      <c r="F56" s="91">
        <f>'[1]CMF 5'!AJ56</f>
        <v>7</v>
      </c>
      <c r="G56" s="91">
        <f>'[1]CMF 6'!AJ56</f>
        <v>65</v>
      </c>
      <c r="H56" s="91">
        <f>'[1]CMF 7'!AJ56</f>
        <v>31</v>
      </c>
      <c r="I56" s="91">
        <f>'[1]CMF 8'!AJ56</f>
        <v>59</v>
      </c>
      <c r="J56" s="91">
        <f>'[1]CMF 9'!AJ56</f>
        <v>0</v>
      </c>
      <c r="K56" s="91">
        <f>'[1]CMF 10'!AJ56</f>
        <v>31</v>
      </c>
      <c r="L56" s="91">
        <f>'[1]CMF 11'!AJ56</f>
        <v>34</v>
      </c>
      <c r="M56" s="91"/>
      <c r="N56" s="91"/>
      <c r="O56" s="91"/>
      <c r="P56" s="91"/>
      <c r="Q56" s="90">
        <f>B56+C56+D56+E56+F56+G56+H56+I56+J56+K56+L56+M56+N56+O56+P56</f>
        <v>351</v>
      </c>
      <c r="R56" s="6"/>
      <c r="S56" s="6"/>
      <c r="T56" s="6"/>
    </row>
    <row r="57" spans="1:20" s="2" customFormat="1" ht="30.75" customHeight="1" thickTop="1" thickBot="1" x14ac:dyDescent="0.3">
      <c r="A57" s="20" t="s">
        <v>9</v>
      </c>
      <c r="B57" s="19">
        <v>1</v>
      </c>
      <c r="C57" s="19">
        <v>2</v>
      </c>
      <c r="D57" s="19">
        <v>3</v>
      </c>
      <c r="E57" s="19">
        <v>4</v>
      </c>
      <c r="F57" s="19">
        <v>5</v>
      </c>
      <c r="G57" s="19">
        <v>6</v>
      </c>
      <c r="H57" s="19">
        <v>7</v>
      </c>
      <c r="I57" s="19">
        <v>8</v>
      </c>
      <c r="J57" s="19">
        <v>9</v>
      </c>
      <c r="K57" s="19">
        <v>10</v>
      </c>
      <c r="L57" s="19">
        <v>11</v>
      </c>
      <c r="M57" s="19"/>
      <c r="N57" s="19"/>
      <c r="O57" s="19"/>
      <c r="P57" s="19"/>
      <c r="Q57" s="18" t="s">
        <v>8</v>
      </c>
      <c r="R57" s="6"/>
      <c r="S57" s="6"/>
      <c r="T57" s="6"/>
    </row>
    <row r="58" spans="1:20" s="2" customFormat="1" ht="30.75" customHeight="1" thickTop="1" thickBot="1" x14ac:dyDescent="0.3">
      <c r="A58" s="52" t="s">
        <v>95</v>
      </c>
      <c r="B58" s="50">
        <f t="shared" ref="B58:L58" si="7">SUM(B59+B78+B82+B86)</f>
        <v>8</v>
      </c>
      <c r="C58" s="50">
        <f t="shared" si="7"/>
        <v>22</v>
      </c>
      <c r="D58" s="50">
        <f t="shared" si="7"/>
        <v>4</v>
      </c>
      <c r="E58" s="50">
        <f t="shared" si="7"/>
        <v>8</v>
      </c>
      <c r="F58" s="50">
        <f t="shared" si="7"/>
        <v>4</v>
      </c>
      <c r="G58" s="50">
        <f t="shared" si="7"/>
        <v>8</v>
      </c>
      <c r="H58" s="50">
        <f t="shared" si="7"/>
        <v>10</v>
      </c>
      <c r="I58" s="50">
        <f t="shared" si="7"/>
        <v>10</v>
      </c>
      <c r="J58" s="50">
        <f t="shared" si="7"/>
        <v>5</v>
      </c>
      <c r="K58" s="50">
        <f t="shared" si="7"/>
        <v>10</v>
      </c>
      <c r="L58" s="50">
        <f t="shared" si="7"/>
        <v>11</v>
      </c>
      <c r="M58" s="50"/>
      <c r="N58" s="50"/>
      <c r="O58" s="50"/>
      <c r="P58" s="50"/>
      <c r="Q58" s="50">
        <f>B58+C58+D58+E58+F58+G58+H58+I58+J58+K58+L58+M58+N58+O58+P58</f>
        <v>100</v>
      </c>
      <c r="R58" s="6"/>
      <c r="S58" s="6"/>
      <c r="T58" s="6"/>
    </row>
    <row r="59" spans="1:20" s="2" customFormat="1" ht="30.75" customHeight="1" thickTop="1" thickBot="1" x14ac:dyDescent="0.3">
      <c r="A59" s="86" t="s">
        <v>94</v>
      </c>
      <c r="B59" s="85">
        <f t="shared" ref="B59:L59" si="8">SUM(B60:B62)</f>
        <v>0</v>
      </c>
      <c r="C59" s="85">
        <f t="shared" si="8"/>
        <v>1</v>
      </c>
      <c r="D59" s="85">
        <f t="shared" si="8"/>
        <v>1</v>
      </c>
      <c r="E59" s="85">
        <f t="shared" si="8"/>
        <v>1</v>
      </c>
      <c r="F59" s="85">
        <f t="shared" si="8"/>
        <v>0</v>
      </c>
      <c r="G59" s="85">
        <f t="shared" si="8"/>
        <v>0</v>
      </c>
      <c r="H59" s="85">
        <f t="shared" si="8"/>
        <v>0</v>
      </c>
      <c r="I59" s="85">
        <f t="shared" si="8"/>
        <v>0</v>
      </c>
      <c r="J59" s="85">
        <f t="shared" si="8"/>
        <v>1</v>
      </c>
      <c r="K59" s="85">
        <f t="shared" si="8"/>
        <v>0</v>
      </c>
      <c r="L59" s="85">
        <f t="shared" si="8"/>
        <v>0</v>
      </c>
      <c r="M59" s="85"/>
      <c r="N59" s="85"/>
      <c r="O59" s="85"/>
      <c r="P59" s="85"/>
      <c r="Q59" s="85">
        <f>B59+C59+D59+E59+F59+G59+H59+I59+J59+K59+L59+M59+N59+O59+P59</f>
        <v>4</v>
      </c>
      <c r="R59" s="6"/>
      <c r="S59" s="6"/>
      <c r="T59" s="6"/>
    </row>
    <row r="60" spans="1:20" s="2" customFormat="1" ht="30.75" customHeight="1" thickTop="1" thickBot="1" x14ac:dyDescent="0.3">
      <c r="A60" s="89" t="s">
        <v>81</v>
      </c>
      <c r="B60" s="23">
        <f>'[1]CMF 1 '!AJ60</f>
        <v>0</v>
      </c>
      <c r="C60" s="23">
        <f>'[1]CMF 2'!AJ60</f>
        <v>0</v>
      </c>
      <c r="D60" s="23">
        <f>'[1]CMF 3'!AJ60</f>
        <v>0</v>
      </c>
      <c r="E60" s="23">
        <f>'[1]CMF 4'!AJ60</f>
        <v>0</v>
      </c>
      <c r="F60" s="23">
        <f>'[1]CMF 5'!AJ60</f>
        <v>0</v>
      </c>
      <c r="G60" s="23">
        <f>'[1]CMF 6'!AJ60</f>
        <v>0</v>
      </c>
      <c r="H60" s="23">
        <f>'[1]CMF 7'!AJ60</f>
        <v>0</v>
      </c>
      <c r="I60" s="23">
        <f>'[1]CMF 8'!AJ60</f>
        <v>0</v>
      </c>
      <c r="J60" s="23">
        <f>'[1]CMF 9'!AJ60</f>
        <v>0</v>
      </c>
      <c r="K60" s="23">
        <f>'[1]CMF 10'!AJ60</f>
        <v>0</v>
      </c>
      <c r="L60" s="23">
        <f>'[1]CMF 11'!AJ60</f>
        <v>0</v>
      </c>
      <c r="M60" s="23"/>
      <c r="N60" s="23"/>
      <c r="O60" s="23"/>
      <c r="P60" s="23"/>
      <c r="Q60" s="22">
        <f>B60+C60+D60+E60+F60+G60+H60+I60+J60+K60+L60+M60+N60+O60+P60</f>
        <v>0</v>
      </c>
      <c r="R60" s="6"/>
      <c r="S60" s="6"/>
      <c r="T60" s="6"/>
    </row>
    <row r="61" spans="1:20" s="2" customFormat="1" ht="30.75" customHeight="1" thickTop="1" thickBot="1" x14ac:dyDescent="0.3">
      <c r="A61" s="24">
        <v>19</v>
      </c>
      <c r="B61" s="23">
        <f>'[1]CMF 1 '!AJ61</f>
        <v>0</v>
      </c>
      <c r="C61" s="23">
        <f>'[1]CMF 2'!AJ61</f>
        <v>0</v>
      </c>
      <c r="D61" s="23">
        <f>'[1]CMF 3'!AJ61</f>
        <v>0</v>
      </c>
      <c r="E61" s="23">
        <f>'[1]CMF 4'!AJ61</f>
        <v>0</v>
      </c>
      <c r="F61" s="23">
        <f>'[1]CMF 5'!AJ61</f>
        <v>0</v>
      </c>
      <c r="G61" s="23">
        <f>'[1]CMF 6'!AJ61</f>
        <v>0</v>
      </c>
      <c r="H61" s="23">
        <f>'[1]CMF 7'!AJ61</f>
        <v>0</v>
      </c>
      <c r="I61" s="23">
        <f>'[1]CMF 8'!AJ61</f>
        <v>0</v>
      </c>
      <c r="J61" s="23">
        <f>'[1]CMF 9'!AJ61</f>
        <v>0</v>
      </c>
      <c r="K61" s="23">
        <f>'[1]CMF 10'!AJ61</f>
        <v>0</v>
      </c>
      <c r="L61" s="23">
        <f>'[1]CMF 11'!AJ61</f>
        <v>0</v>
      </c>
      <c r="M61" s="23"/>
      <c r="N61" s="23"/>
      <c r="O61" s="23"/>
      <c r="P61" s="23"/>
      <c r="Q61" s="22">
        <f>B61+C61+D61+E61+F61+G61+H61+I61+J61+K61+L61+M61+N61+O61+P61</f>
        <v>0</v>
      </c>
      <c r="R61" s="6"/>
      <c r="S61" s="6"/>
      <c r="T61" s="6"/>
    </row>
    <row r="62" spans="1:20" s="2" customFormat="1" ht="30.75" customHeight="1" thickTop="1" thickBot="1" x14ac:dyDescent="0.3">
      <c r="A62" s="24" t="s">
        <v>23</v>
      </c>
      <c r="B62" s="23">
        <f>'[1]CMF 1 '!AJ62</f>
        <v>0</v>
      </c>
      <c r="C62" s="23">
        <f>'[1]CMF 2'!AJ62</f>
        <v>1</v>
      </c>
      <c r="D62" s="23">
        <f>'[1]CMF 3'!AJ62</f>
        <v>1</v>
      </c>
      <c r="E62" s="23">
        <f>'[1]CMF 4'!AJ62</f>
        <v>1</v>
      </c>
      <c r="F62" s="23">
        <f>'[1]CMF 5'!AJ62</f>
        <v>0</v>
      </c>
      <c r="G62" s="23">
        <f>'[1]CMF 6'!AJ62</f>
        <v>0</v>
      </c>
      <c r="H62" s="23">
        <f>'[1]CMF 7'!AJ62</f>
        <v>0</v>
      </c>
      <c r="I62" s="23">
        <f>'[1]CMF 8'!AJ62</f>
        <v>0</v>
      </c>
      <c r="J62" s="23">
        <f>'[1]CMF 9'!AJ62</f>
        <v>1</v>
      </c>
      <c r="K62" s="23">
        <f>'[1]CMF 10'!AJ62</f>
        <v>0</v>
      </c>
      <c r="L62" s="23">
        <f>'[1]CMF 11'!AJ62</f>
        <v>0</v>
      </c>
      <c r="M62" s="23"/>
      <c r="N62" s="23"/>
      <c r="O62" s="23"/>
      <c r="P62" s="23"/>
      <c r="Q62" s="22">
        <f>B62+C62+D62+E62+F62+G62+H62+I62+J62+K62+L62+M62+N62+O62+P62</f>
        <v>4</v>
      </c>
      <c r="R62" s="6"/>
      <c r="S62" s="6"/>
      <c r="T62" s="6"/>
    </row>
    <row r="63" spans="1:20" s="2" customFormat="1" ht="30.75" customHeight="1" thickTop="1" thickBot="1" x14ac:dyDescent="0.3">
      <c r="A63" s="86" t="s">
        <v>93</v>
      </c>
      <c r="B63" s="85">
        <f t="shared" ref="B63:L63" si="9">SUM(B64:B66)</f>
        <v>0</v>
      </c>
      <c r="C63" s="85">
        <f t="shared" si="9"/>
        <v>1</v>
      </c>
      <c r="D63" s="85">
        <f t="shared" si="9"/>
        <v>1</v>
      </c>
      <c r="E63" s="85">
        <f t="shared" si="9"/>
        <v>1</v>
      </c>
      <c r="F63" s="85">
        <f t="shared" si="9"/>
        <v>0</v>
      </c>
      <c r="G63" s="85">
        <f t="shared" si="9"/>
        <v>0</v>
      </c>
      <c r="H63" s="85">
        <f t="shared" si="9"/>
        <v>0</v>
      </c>
      <c r="I63" s="85">
        <f t="shared" si="9"/>
        <v>0</v>
      </c>
      <c r="J63" s="85">
        <f t="shared" si="9"/>
        <v>1</v>
      </c>
      <c r="K63" s="85">
        <f t="shared" si="9"/>
        <v>0</v>
      </c>
      <c r="L63" s="85">
        <f t="shared" si="9"/>
        <v>0</v>
      </c>
      <c r="M63" s="85"/>
      <c r="N63" s="85"/>
      <c r="O63" s="85"/>
      <c r="P63" s="85"/>
      <c r="Q63" s="85">
        <f>B63+C63+D63+E63+F63+G63+H63+I63+J63+K63+L63+M63+N63+O63+P63</f>
        <v>4</v>
      </c>
      <c r="R63" s="6"/>
      <c r="S63" s="6"/>
      <c r="T63" s="6"/>
    </row>
    <row r="64" spans="1:20" s="2" customFormat="1" ht="30.75" customHeight="1" thickTop="1" thickBot="1" x14ac:dyDescent="0.3">
      <c r="A64" s="24" t="s">
        <v>81</v>
      </c>
      <c r="B64" s="23">
        <f>'[1]CMF 1 '!AJ64</f>
        <v>0</v>
      </c>
      <c r="C64" s="23">
        <f>'[1]CMF 2'!AJ64</f>
        <v>0</v>
      </c>
      <c r="D64" s="23">
        <f>'[1]CMF 3'!AJ64</f>
        <v>0</v>
      </c>
      <c r="E64" s="23">
        <f>'[1]CMF 4'!AJ64</f>
        <v>0</v>
      </c>
      <c r="F64" s="23">
        <f>'[1]CMF 5'!AJ64</f>
        <v>0</v>
      </c>
      <c r="G64" s="23">
        <f>'[1]CMF 6'!AJ64</f>
        <v>0</v>
      </c>
      <c r="H64" s="23">
        <f>'[1]CMF 7'!AJ64</f>
        <v>0</v>
      </c>
      <c r="I64" s="23">
        <f>'[1]CMF 8'!AJ64</f>
        <v>0</v>
      </c>
      <c r="J64" s="23">
        <f>'[1]CMF 9'!AJ64</f>
        <v>0</v>
      </c>
      <c r="K64" s="23">
        <f>'[1]CMF 10'!AJ64</f>
        <v>0</v>
      </c>
      <c r="L64" s="23">
        <f>'[1]CMF 11'!AJ64</f>
        <v>0</v>
      </c>
      <c r="M64" s="23"/>
      <c r="N64" s="23"/>
      <c r="O64" s="23"/>
      <c r="P64" s="23"/>
      <c r="Q64" s="22">
        <f>B64+C64+D64+E64+F64+G64+H64+I64+J64+K64+L64+M64+N64+O64+P64</f>
        <v>0</v>
      </c>
      <c r="R64" s="6"/>
      <c r="S64" s="6"/>
      <c r="T64" s="6"/>
    </row>
    <row r="65" spans="1:20" s="2" customFormat="1" ht="30.75" customHeight="1" thickTop="1" thickBot="1" x14ac:dyDescent="0.3">
      <c r="A65" s="24">
        <v>19</v>
      </c>
      <c r="B65" s="23">
        <f>'[1]CMF 1 '!AJ65</f>
        <v>0</v>
      </c>
      <c r="C65" s="23">
        <f>'[1]CMF 2'!AJ65</f>
        <v>0</v>
      </c>
      <c r="D65" s="23">
        <f>'[1]CMF 3'!AJ65</f>
        <v>0</v>
      </c>
      <c r="E65" s="23">
        <f>'[1]CMF 4'!AJ65</f>
        <v>0</v>
      </c>
      <c r="F65" s="23">
        <f>'[1]CMF 5'!AJ65</f>
        <v>0</v>
      </c>
      <c r="G65" s="23">
        <f>'[1]CMF 6'!AJ65</f>
        <v>0</v>
      </c>
      <c r="H65" s="23">
        <f>'[1]CMF 7'!AJ65</f>
        <v>0</v>
      </c>
      <c r="I65" s="23">
        <f>'[1]CMF 8'!AJ65</f>
        <v>0</v>
      </c>
      <c r="J65" s="23">
        <f>'[1]CMF 9'!AJ65</f>
        <v>0</v>
      </c>
      <c r="K65" s="23">
        <f>'[1]CMF 10'!AJ65</f>
        <v>0</v>
      </c>
      <c r="L65" s="23">
        <f>'[1]CMF 11'!AJ65</f>
        <v>0</v>
      </c>
      <c r="M65" s="23"/>
      <c r="N65" s="23"/>
      <c r="O65" s="23"/>
      <c r="P65" s="23"/>
      <c r="Q65" s="22">
        <f>B65+C65+D65+E65+F65+G65+H65+I65+J65+K65+L65+M65+N65+O65+P65</f>
        <v>0</v>
      </c>
      <c r="R65" s="6"/>
      <c r="S65" s="6"/>
      <c r="T65" s="6"/>
    </row>
    <row r="66" spans="1:20" s="2" customFormat="1" ht="30.75" customHeight="1" thickTop="1" thickBot="1" x14ac:dyDescent="0.3">
      <c r="A66" s="24" t="s">
        <v>23</v>
      </c>
      <c r="B66" s="23">
        <f>'[1]CMF 1 '!AJ66</f>
        <v>0</v>
      </c>
      <c r="C66" s="23">
        <f>'[1]CMF 2'!AJ66</f>
        <v>1</v>
      </c>
      <c r="D66" s="23">
        <f>'[1]CMF 3'!AJ66</f>
        <v>1</v>
      </c>
      <c r="E66" s="23">
        <f>'[1]CMF 4'!AJ66</f>
        <v>1</v>
      </c>
      <c r="F66" s="23">
        <f>'[1]CMF 5'!AJ66</f>
        <v>0</v>
      </c>
      <c r="G66" s="23">
        <f>'[1]CMF 6'!AJ66</f>
        <v>0</v>
      </c>
      <c r="H66" s="23">
        <f>'[1]CMF 7'!AJ66</f>
        <v>0</v>
      </c>
      <c r="I66" s="23">
        <f>'[1]CMF 8'!AJ66</f>
        <v>0</v>
      </c>
      <c r="J66" s="23">
        <f>'[1]CMF 9'!AJ66</f>
        <v>1</v>
      </c>
      <c r="K66" s="23">
        <f>'[1]CMF 10'!AJ66</f>
        <v>0</v>
      </c>
      <c r="L66" s="23">
        <f>'[1]CMF 11'!AJ66</f>
        <v>0</v>
      </c>
      <c r="M66" s="23"/>
      <c r="N66" s="23"/>
      <c r="O66" s="23"/>
      <c r="P66" s="23"/>
      <c r="Q66" s="22">
        <f>B66+C66+D66+E66+F66+G66+H66+I66+J66+K66+L66+M66+N66+O66+P66</f>
        <v>4</v>
      </c>
      <c r="R66" s="6"/>
      <c r="S66" s="6"/>
      <c r="T66" s="6"/>
    </row>
    <row r="67" spans="1:20" s="2" customFormat="1" ht="30.75" customHeight="1" thickTop="1" thickBot="1" x14ac:dyDescent="0.3">
      <c r="A67" s="86" t="s">
        <v>92</v>
      </c>
      <c r="B67" s="85">
        <f t="shared" ref="B67:L67" si="10">SUM(B68:B70)</f>
        <v>0</v>
      </c>
      <c r="C67" s="85">
        <f t="shared" si="10"/>
        <v>0</v>
      </c>
      <c r="D67" s="85">
        <f t="shared" si="10"/>
        <v>0</v>
      </c>
      <c r="E67" s="85">
        <f t="shared" si="10"/>
        <v>0</v>
      </c>
      <c r="F67" s="85">
        <f t="shared" si="10"/>
        <v>0</v>
      </c>
      <c r="G67" s="85">
        <f t="shared" si="10"/>
        <v>0</v>
      </c>
      <c r="H67" s="85">
        <f t="shared" si="10"/>
        <v>0</v>
      </c>
      <c r="I67" s="85">
        <f t="shared" si="10"/>
        <v>0</v>
      </c>
      <c r="J67" s="85">
        <f t="shared" si="10"/>
        <v>0</v>
      </c>
      <c r="K67" s="85">
        <f t="shared" si="10"/>
        <v>0</v>
      </c>
      <c r="L67" s="85">
        <f t="shared" si="10"/>
        <v>0</v>
      </c>
      <c r="M67" s="85"/>
      <c r="N67" s="85"/>
      <c r="O67" s="85"/>
      <c r="P67" s="85"/>
      <c r="Q67" s="85">
        <f>B67+C67+D67+E67+F67+G67+H67+I67+J67+K67+L67+M67+N67+O67+P67</f>
        <v>0</v>
      </c>
      <c r="R67" s="6"/>
      <c r="S67" s="6"/>
      <c r="T67" s="6"/>
    </row>
    <row r="68" spans="1:20" s="2" customFormat="1" ht="30.75" customHeight="1" thickTop="1" thickBot="1" x14ac:dyDescent="0.3">
      <c r="A68" s="24" t="s">
        <v>81</v>
      </c>
      <c r="B68" s="23">
        <f>'[1]CMF 1 '!AJ68</f>
        <v>0</v>
      </c>
      <c r="C68" s="23">
        <f>'[1]CMF 2'!AJ68</f>
        <v>0</v>
      </c>
      <c r="D68" s="23">
        <f>'[1]CMF 3'!AJ68</f>
        <v>0</v>
      </c>
      <c r="E68" s="23">
        <f>'[1]CMF 4'!AJ68</f>
        <v>0</v>
      </c>
      <c r="F68" s="23">
        <f>'[1]CMF 5'!AJ68</f>
        <v>0</v>
      </c>
      <c r="G68" s="23">
        <f>'[1]CMF 6'!AJ68</f>
        <v>0</v>
      </c>
      <c r="H68" s="23">
        <f>'[1]CMF 7'!AJ68</f>
        <v>0</v>
      </c>
      <c r="I68" s="23">
        <f>'[1]CMF 8'!AJ68</f>
        <v>0</v>
      </c>
      <c r="J68" s="23">
        <f>'[1]CMF 9'!AJ68</f>
        <v>0</v>
      </c>
      <c r="K68" s="23">
        <f>'[1]CMF 10'!AJ68</f>
        <v>0</v>
      </c>
      <c r="L68" s="23">
        <f>'[1]CMF 11'!AJ68</f>
        <v>0</v>
      </c>
      <c r="M68" s="23"/>
      <c r="N68" s="23"/>
      <c r="O68" s="23"/>
      <c r="P68" s="23"/>
      <c r="Q68" s="22">
        <f>B68+C68+D68+E68+F68+G68+H68+I68+J68+K68+L68+M68+N68+O68+P68</f>
        <v>0</v>
      </c>
      <c r="R68" s="6"/>
      <c r="S68" s="6"/>
      <c r="T68" s="6"/>
    </row>
    <row r="69" spans="1:20" s="2" customFormat="1" ht="30.75" customHeight="1" thickTop="1" thickBot="1" x14ac:dyDescent="0.3">
      <c r="A69" s="24">
        <v>19</v>
      </c>
      <c r="B69" s="23">
        <f>'[1]CMF 1 '!AJ69</f>
        <v>0</v>
      </c>
      <c r="C69" s="23">
        <f>'[1]CMF 2'!AJ69</f>
        <v>0</v>
      </c>
      <c r="D69" s="23">
        <f>'[1]CMF 3'!AJ69</f>
        <v>0</v>
      </c>
      <c r="E69" s="23">
        <f>'[1]CMF 4'!AJ69</f>
        <v>0</v>
      </c>
      <c r="F69" s="23">
        <f>'[1]CMF 5'!AJ69</f>
        <v>0</v>
      </c>
      <c r="G69" s="23">
        <f>'[1]CMF 6'!AJ69</f>
        <v>0</v>
      </c>
      <c r="H69" s="23">
        <f>'[1]CMF 7'!AJ69</f>
        <v>0</v>
      </c>
      <c r="I69" s="23">
        <f>'[1]CMF 8'!AJ69</f>
        <v>0</v>
      </c>
      <c r="J69" s="23">
        <f>'[1]CMF 9'!AJ69</f>
        <v>0</v>
      </c>
      <c r="K69" s="23">
        <f>'[1]CMF 10'!AJ69</f>
        <v>0</v>
      </c>
      <c r="L69" s="23">
        <f>'[1]CMF 11'!AJ69</f>
        <v>0</v>
      </c>
      <c r="M69" s="23"/>
      <c r="N69" s="23"/>
      <c r="O69" s="23"/>
      <c r="P69" s="23"/>
      <c r="Q69" s="22">
        <f>B69+C69+D69+E69+F69+G69+H69+I69+J69+K69+L69+M69+N69+O69+P69</f>
        <v>0</v>
      </c>
      <c r="R69" s="6"/>
      <c r="S69" s="6"/>
      <c r="T69" s="6"/>
    </row>
    <row r="70" spans="1:20" s="2" customFormat="1" ht="30.75" customHeight="1" thickTop="1" thickBot="1" x14ac:dyDescent="0.3">
      <c r="A70" s="24" t="s">
        <v>23</v>
      </c>
      <c r="B70" s="23">
        <f>'[1]CMF 1 '!AJ70</f>
        <v>0</v>
      </c>
      <c r="C70" s="23">
        <f>'[1]CMF 2'!AJ70</f>
        <v>0</v>
      </c>
      <c r="D70" s="23">
        <f>'[1]CMF 3'!AJ70</f>
        <v>0</v>
      </c>
      <c r="E70" s="23">
        <f>'[1]CMF 4'!AJ70</f>
        <v>0</v>
      </c>
      <c r="F70" s="23">
        <f>'[1]CMF 5'!AJ70</f>
        <v>0</v>
      </c>
      <c r="G70" s="23">
        <f>'[1]CMF 6'!AJ70</f>
        <v>0</v>
      </c>
      <c r="H70" s="23">
        <f>'[1]CMF 7'!AJ70</f>
        <v>0</v>
      </c>
      <c r="I70" s="23">
        <f>'[1]CMF 8'!AJ70</f>
        <v>0</v>
      </c>
      <c r="J70" s="23">
        <f>'[1]CMF 9'!AJ70</f>
        <v>0</v>
      </c>
      <c r="K70" s="23">
        <f>'[1]CMF 10'!AJ70</f>
        <v>0</v>
      </c>
      <c r="L70" s="23">
        <f>'[1]CMF 11'!AJ70</f>
        <v>0</v>
      </c>
      <c r="M70" s="23"/>
      <c r="N70" s="23"/>
      <c r="O70" s="23"/>
      <c r="P70" s="23"/>
      <c r="Q70" s="22">
        <f>B70+C70+D70+E70+F70+G70+H70+I70+J70+K70+L70+M70+N70+O70+P70</f>
        <v>0</v>
      </c>
      <c r="R70" s="6"/>
      <c r="S70" s="6"/>
      <c r="T70" s="6"/>
    </row>
    <row r="71" spans="1:20" s="2" customFormat="1" ht="30.75" customHeight="1" thickTop="1" thickBot="1" x14ac:dyDescent="0.3">
      <c r="A71" s="86" t="s">
        <v>91</v>
      </c>
      <c r="B71" s="85">
        <f t="shared" ref="B71:L71" si="11">SUM(B72:B74)</f>
        <v>0</v>
      </c>
      <c r="C71" s="85">
        <f t="shared" si="11"/>
        <v>0</v>
      </c>
      <c r="D71" s="85">
        <f t="shared" si="11"/>
        <v>0</v>
      </c>
      <c r="E71" s="85">
        <f t="shared" si="11"/>
        <v>0</v>
      </c>
      <c r="F71" s="85">
        <f t="shared" si="11"/>
        <v>0</v>
      </c>
      <c r="G71" s="85">
        <f t="shared" si="11"/>
        <v>0</v>
      </c>
      <c r="H71" s="85">
        <f t="shared" si="11"/>
        <v>0</v>
      </c>
      <c r="I71" s="85">
        <f t="shared" si="11"/>
        <v>0</v>
      </c>
      <c r="J71" s="85">
        <f t="shared" si="11"/>
        <v>0</v>
      </c>
      <c r="K71" s="85">
        <f t="shared" si="11"/>
        <v>0</v>
      </c>
      <c r="L71" s="85">
        <f t="shared" si="11"/>
        <v>0</v>
      </c>
      <c r="M71" s="85"/>
      <c r="N71" s="85"/>
      <c r="O71" s="85"/>
      <c r="P71" s="85"/>
      <c r="Q71" s="85">
        <f>B71+C71+D71+E71+F71+G71+H71+I71+J71+K71+L71+M71+N71+O71+P71</f>
        <v>0</v>
      </c>
      <c r="R71" s="6"/>
      <c r="S71" s="6"/>
      <c r="T71" s="6"/>
    </row>
    <row r="72" spans="1:20" s="2" customFormat="1" ht="30.75" customHeight="1" thickTop="1" thickBot="1" x14ac:dyDescent="0.3">
      <c r="A72" s="89" t="s">
        <v>81</v>
      </c>
      <c r="B72" s="23">
        <f>'[1]CMF 1 '!AJ72</f>
        <v>0</v>
      </c>
      <c r="C72" s="23">
        <f>'[1]CMF 2'!AJ72</f>
        <v>0</v>
      </c>
      <c r="D72" s="23">
        <f>'[1]CMF 3'!AJ72</f>
        <v>0</v>
      </c>
      <c r="E72" s="23">
        <f>'[1]CMF 4'!AJ72</f>
        <v>0</v>
      </c>
      <c r="F72" s="23">
        <f>'[1]CMF 5'!AJ72</f>
        <v>0</v>
      </c>
      <c r="G72" s="23">
        <f>'[1]CMF 6'!AJ72</f>
        <v>0</v>
      </c>
      <c r="H72" s="23">
        <f>'[1]CMF 7'!AJ72</f>
        <v>0</v>
      </c>
      <c r="I72" s="23">
        <f>'[1]CMF 8'!AJ72</f>
        <v>0</v>
      </c>
      <c r="J72" s="23">
        <f>'[1]CMF 9'!AJ72</f>
        <v>0</v>
      </c>
      <c r="K72" s="23">
        <f>'[1]CMF 10'!AJ72</f>
        <v>0</v>
      </c>
      <c r="L72" s="23">
        <f>'[1]CMF 11'!AJ72</f>
        <v>0</v>
      </c>
      <c r="M72" s="23"/>
      <c r="N72" s="23"/>
      <c r="O72" s="23"/>
      <c r="P72" s="23"/>
      <c r="Q72" s="22">
        <f>B72+C72+D72+E72+F72+G72+H72+I72+J72+K72+L72+M72+N72+O72+P72</f>
        <v>0</v>
      </c>
      <c r="R72" s="6"/>
      <c r="S72" s="6"/>
      <c r="T72" s="6"/>
    </row>
    <row r="73" spans="1:20" s="2" customFormat="1" ht="30.75" customHeight="1" thickTop="1" thickBot="1" x14ac:dyDescent="0.3">
      <c r="A73" s="24">
        <v>19</v>
      </c>
      <c r="B73" s="23">
        <f>'[1]CMF 1 '!AJ73</f>
        <v>0</v>
      </c>
      <c r="C73" s="23">
        <f>'[1]CMF 2'!AJ73</f>
        <v>0</v>
      </c>
      <c r="D73" s="23">
        <f>'[1]CMF 3'!AJ73</f>
        <v>0</v>
      </c>
      <c r="E73" s="23">
        <f>'[1]CMF 4'!AJ73</f>
        <v>0</v>
      </c>
      <c r="F73" s="23">
        <f>'[1]CMF 5'!AJ73</f>
        <v>0</v>
      </c>
      <c r="G73" s="23">
        <f>'[1]CMF 6'!AJ73</f>
        <v>0</v>
      </c>
      <c r="H73" s="23">
        <f>'[1]CMF 7'!AJ73</f>
        <v>0</v>
      </c>
      <c r="I73" s="23">
        <f>'[1]CMF 8'!AJ73</f>
        <v>0</v>
      </c>
      <c r="J73" s="23">
        <f>'[1]CMF 9'!AJ73</f>
        <v>0</v>
      </c>
      <c r="K73" s="23">
        <f>'[1]CMF 10'!AJ73</f>
        <v>0</v>
      </c>
      <c r="L73" s="23">
        <f>'[1]CMF 11'!AJ73</f>
        <v>0</v>
      </c>
      <c r="M73" s="23"/>
      <c r="N73" s="23"/>
      <c r="O73" s="23"/>
      <c r="P73" s="23"/>
      <c r="Q73" s="22">
        <f>B73+C73+D73+E73+F73+G73+H73+I73+J73+K73+L73+M73+N73+O73+P73</f>
        <v>0</v>
      </c>
      <c r="R73" s="6"/>
      <c r="S73" s="6"/>
      <c r="T73" s="6"/>
    </row>
    <row r="74" spans="1:20" s="2" customFormat="1" ht="30.75" customHeight="1" thickTop="1" thickBot="1" x14ac:dyDescent="0.3">
      <c r="A74" s="24" t="s">
        <v>23</v>
      </c>
      <c r="B74" s="23">
        <f>'[1]CMF 1 '!AJ74</f>
        <v>0</v>
      </c>
      <c r="C74" s="23">
        <f>'[1]CMF 2'!AJ74</f>
        <v>0</v>
      </c>
      <c r="D74" s="23">
        <f>'[1]CMF 3'!AJ74</f>
        <v>0</v>
      </c>
      <c r="E74" s="23">
        <f>'[1]CMF 4'!AJ74</f>
        <v>0</v>
      </c>
      <c r="F74" s="23">
        <f>'[1]CMF 5'!AJ74</f>
        <v>0</v>
      </c>
      <c r="G74" s="23">
        <f>'[1]CMF 6'!AJ74</f>
        <v>0</v>
      </c>
      <c r="H74" s="23">
        <f>'[1]CMF 7'!AJ74</f>
        <v>0</v>
      </c>
      <c r="I74" s="23">
        <f>'[1]CMF 8'!AJ74</f>
        <v>0</v>
      </c>
      <c r="J74" s="23">
        <f>'[1]CMF 9'!AJ74</f>
        <v>0</v>
      </c>
      <c r="K74" s="23">
        <f>'[1]CMF 10'!AJ74</f>
        <v>0</v>
      </c>
      <c r="L74" s="23">
        <f>'[1]CMF 11'!AJ74</f>
        <v>0</v>
      </c>
      <c r="M74" s="23"/>
      <c r="N74" s="23"/>
      <c r="O74" s="23"/>
      <c r="P74" s="23"/>
      <c r="Q74" s="22">
        <f>B74+C74+D74+E74+F74+G74+H74+I74+J74+K74+L74+M74+N74+O74+P74</f>
        <v>0</v>
      </c>
      <c r="R74" s="6"/>
      <c r="S74" s="6"/>
      <c r="T74" s="6"/>
    </row>
    <row r="75" spans="1:20" s="2" customFormat="1" ht="30.75" customHeight="1" thickTop="1" thickBot="1" x14ac:dyDescent="0.3">
      <c r="A75" s="88" t="s">
        <v>90</v>
      </c>
      <c r="B75" s="87">
        <f>'[1]CMF 1 '!AJ75</f>
        <v>0</v>
      </c>
      <c r="C75" s="87">
        <f>'[1]CMF 2'!AJ75</f>
        <v>0</v>
      </c>
      <c r="D75" s="87">
        <f>'[1]CMF 3'!AJ75</f>
        <v>0</v>
      </c>
      <c r="E75" s="87">
        <f>'[1]CMF 4'!AJ75</f>
        <v>0</v>
      </c>
      <c r="F75" s="87">
        <f>'[1]CMF 5'!AJ75</f>
        <v>0</v>
      </c>
      <c r="G75" s="87">
        <f>'[1]CMF 6'!AJ75</f>
        <v>0</v>
      </c>
      <c r="H75" s="87">
        <f>'[1]CMF 7'!AJ75</f>
        <v>0</v>
      </c>
      <c r="I75" s="87">
        <f>'[1]CMF 8'!AJ75</f>
        <v>0</v>
      </c>
      <c r="J75" s="87">
        <f>'[1]CMF 9'!AJ75</f>
        <v>0</v>
      </c>
      <c r="K75" s="87">
        <f>'[1]CMF 10'!AJ75</f>
        <v>0</v>
      </c>
      <c r="L75" s="87">
        <f>'[1]CMF 11'!AJ75</f>
        <v>0</v>
      </c>
      <c r="M75" s="87"/>
      <c r="N75" s="87"/>
      <c r="O75" s="87"/>
      <c r="P75" s="87"/>
      <c r="Q75" s="87">
        <f>B75+C75+D75+E75+F75+G75+H75+I75+J75+K75+L75+M75+N75+O75+P75</f>
        <v>0</v>
      </c>
      <c r="R75" s="6"/>
      <c r="S75" s="6"/>
      <c r="T75" s="6"/>
    </row>
    <row r="76" spans="1:20" s="2" customFormat="1" ht="30.75" customHeight="1" thickTop="1" thickBot="1" x14ac:dyDescent="0.3">
      <c r="A76" s="88" t="s">
        <v>89</v>
      </c>
      <c r="B76" s="87">
        <f>'[1]CMF 1 '!AJ76</f>
        <v>0</v>
      </c>
      <c r="C76" s="87">
        <f>'[1]CMF 2'!AJ76</f>
        <v>0</v>
      </c>
      <c r="D76" s="87">
        <f>'[1]CMF 3'!AJ76</f>
        <v>0</v>
      </c>
      <c r="E76" s="87">
        <f>'[1]CMF 4'!AJ76</f>
        <v>0</v>
      </c>
      <c r="F76" s="87">
        <f>'[1]CMF 5'!AJ76</f>
        <v>0</v>
      </c>
      <c r="G76" s="87">
        <f>'[1]CMF 6'!AJ76</f>
        <v>0</v>
      </c>
      <c r="H76" s="87">
        <f>'[1]CMF 7'!AJ76</f>
        <v>0</v>
      </c>
      <c r="I76" s="87">
        <f>'[1]CMF 8'!AJ76</f>
        <v>0</v>
      </c>
      <c r="J76" s="87">
        <f>'[1]CMF 9'!AJ76</f>
        <v>0</v>
      </c>
      <c r="K76" s="87">
        <f>'[1]CMF 10'!AJ76</f>
        <v>0</v>
      </c>
      <c r="L76" s="87">
        <f>'[1]CMF 11'!AJ76</f>
        <v>0</v>
      </c>
      <c r="M76" s="87"/>
      <c r="N76" s="87"/>
      <c r="O76" s="87"/>
      <c r="P76" s="87"/>
      <c r="Q76" s="87">
        <f>B76+C76+D76+E76+F76+G76+H76+I76+J76+K76+L76+M76+N76+O76+P76</f>
        <v>0</v>
      </c>
      <c r="R76" s="6"/>
      <c r="S76" s="6"/>
      <c r="T76" s="6"/>
    </row>
    <row r="77" spans="1:20" s="2" customFormat="1" ht="30.75" customHeight="1" thickTop="1" thickBot="1" x14ac:dyDescent="0.3">
      <c r="A77" s="88" t="s">
        <v>88</v>
      </c>
      <c r="B77" s="87">
        <f>'[1]CMF 1 '!AJ77</f>
        <v>0</v>
      </c>
      <c r="C77" s="87">
        <f>'[1]CMF 2'!AJ77</f>
        <v>0</v>
      </c>
      <c r="D77" s="87">
        <f>'[1]CMF 3'!AJ77</f>
        <v>0</v>
      </c>
      <c r="E77" s="87">
        <f>'[1]CMF 4'!AJ77</f>
        <v>0</v>
      </c>
      <c r="F77" s="87">
        <f>'[1]CMF 5'!AJ77</f>
        <v>0</v>
      </c>
      <c r="G77" s="87">
        <f>'[1]CMF 6'!AJ77</f>
        <v>0</v>
      </c>
      <c r="H77" s="87">
        <f>'[1]CMF 7'!AJ77</f>
        <v>0</v>
      </c>
      <c r="I77" s="87">
        <f>'[1]CMF 8'!AJ77</f>
        <v>0</v>
      </c>
      <c r="J77" s="87">
        <f>'[1]CMF 9'!AJ77</f>
        <v>0</v>
      </c>
      <c r="K77" s="87">
        <f>'[1]CMF 10'!AJ77</f>
        <v>0</v>
      </c>
      <c r="L77" s="87">
        <f>'[1]CMF 11'!AJ77</f>
        <v>0</v>
      </c>
      <c r="M77" s="87"/>
      <c r="N77" s="87"/>
      <c r="O77" s="87"/>
      <c r="P77" s="87"/>
      <c r="Q77" s="87">
        <f>B77+C77+D77+E77+F77+G77+H77+I77+J77+K77+L77+M77+N77+O77+P77</f>
        <v>0</v>
      </c>
      <c r="R77" s="6"/>
      <c r="S77" s="6"/>
      <c r="T77" s="6"/>
    </row>
    <row r="78" spans="1:20" s="2" customFormat="1" ht="30.75" customHeight="1" thickTop="1" thickBot="1" x14ac:dyDescent="0.3">
      <c r="A78" s="86" t="s">
        <v>87</v>
      </c>
      <c r="B78" s="85">
        <f t="shared" ref="B78:L78" si="12">SUM(B79:B81)</f>
        <v>4</v>
      </c>
      <c r="C78" s="85">
        <f t="shared" si="12"/>
        <v>8</v>
      </c>
      <c r="D78" s="85">
        <f t="shared" si="12"/>
        <v>1</v>
      </c>
      <c r="E78" s="85">
        <f t="shared" si="12"/>
        <v>4</v>
      </c>
      <c r="F78" s="85">
        <f t="shared" si="12"/>
        <v>2</v>
      </c>
      <c r="G78" s="85">
        <f t="shared" si="12"/>
        <v>5</v>
      </c>
      <c r="H78" s="85">
        <f t="shared" si="12"/>
        <v>5</v>
      </c>
      <c r="I78" s="85">
        <f t="shared" si="12"/>
        <v>1</v>
      </c>
      <c r="J78" s="85">
        <f t="shared" si="12"/>
        <v>3</v>
      </c>
      <c r="K78" s="85">
        <f t="shared" si="12"/>
        <v>4</v>
      </c>
      <c r="L78" s="85">
        <f t="shared" si="12"/>
        <v>4</v>
      </c>
      <c r="M78" s="85"/>
      <c r="N78" s="85"/>
      <c r="O78" s="85"/>
      <c r="P78" s="85"/>
      <c r="Q78" s="85">
        <f>B78+C78+D78+E78+F78+G78+H78+I78+J78+K78+L78+M78+N78+O78+P78</f>
        <v>41</v>
      </c>
      <c r="R78" s="6"/>
      <c r="S78" s="6"/>
      <c r="T78" s="6"/>
    </row>
    <row r="79" spans="1:20" s="2" customFormat="1" ht="30.75" customHeight="1" thickTop="1" thickBot="1" x14ac:dyDescent="0.3">
      <c r="A79" s="24" t="s">
        <v>81</v>
      </c>
      <c r="B79" s="23">
        <f>'[1]CMF 1 '!AJ79</f>
        <v>0</v>
      </c>
      <c r="C79" s="23">
        <f>'[1]CMF 2'!AJ79</f>
        <v>0</v>
      </c>
      <c r="D79" s="23">
        <f>'[1]CMF 3'!AJ79</f>
        <v>0</v>
      </c>
      <c r="E79" s="23">
        <f>'[1]CMF 4'!AJ79</f>
        <v>0</v>
      </c>
      <c r="F79" s="23">
        <f>'[1]CMF 5'!AJ79</f>
        <v>0</v>
      </c>
      <c r="G79" s="23">
        <f>'[1]CMF 6'!AJ79</f>
        <v>1</v>
      </c>
      <c r="H79" s="23">
        <f>'[1]CMF 7'!AJ79</f>
        <v>0</v>
      </c>
      <c r="I79" s="23">
        <f>'[1]CMF 8'!AJ79</f>
        <v>0</v>
      </c>
      <c r="J79" s="23">
        <f>'[1]CMF 9'!AJ79</f>
        <v>0</v>
      </c>
      <c r="K79" s="23">
        <f>'[1]CMF 10'!AJ79</f>
        <v>0</v>
      </c>
      <c r="L79" s="23">
        <f>'[1]CMF 11'!AJ79</f>
        <v>0</v>
      </c>
      <c r="M79" s="23"/>
      <c r="N79" s="23"/>
      <c r="O79" s="23"/>
      <c r="P79" s="23"/>
      <c r="Q79" s="22">
        <f>B79+C79+D79+E79+F79+G79+H79+I79+J79+K79+L79+M79+N79+O79+P79</f>
        <v>1</v>
      </c>
      <c r="R79" s="6"/>
      <c r="S79" s="6"/>
      <c r="T79" s="6"/>
    </row>
    <row r="80" spans="1:20" s="2" customFormat="1" ht="30.75" customHeight="1" thickTop="1" thickBot="1" x14ac:dyDescent="0.3">
      <c r="A80" s="24">
        <v>19</v>
      </c>
      <c r="B80" s="23">
        <f>'[1]CMF 1 '!AJ80</f>
        <v>0</v>
      </c>
      <c r="C80" s="23">
        <f>'[1]CMF 2'!AJ80</f>
        <v>0</v>
      </c>
      <c r="D80" s="23">
        <f>'[1]CMF 3'!AJ80</f>
        <v>0</v>
      </c>
      <c r="E80" s="23">
        <f>'[1]CMF 4'!AJ80</f>
        <v>0</v>
      </c>
      <c r="F80" s="23">
        <f>'[1]CMF 5'!AJ80</f>
        <v>0</v>
      </c>
      <c r="G80" s="23">
        <f>'[1]CMF 6'!AJ80</f>
        <v>0</v>
      </c>
      <c r="H80" s="23">
        <f>'[1]CMF 7'!AJ80</f>
        <v>0</v>
      </c>
      <c r="I80" s="23">
        <f>'[1]CMF 8'!AJ80</f>
        <v>0</v>
      </c>
      <c r="J80" s="23">
        <f>'[1]CMF 9'!AJ80</f>
        <v>0</v>
      </c>
      <c r="K80" s="23">
        <f>'[1]CMF 10'!AJ80</f>
        <v>0</v>
      </c>
      <c r="L80" s="23">
        <f>'[1]CMF 11'!AJ80</f>
        <v>0</v>
      </c>
      <c r="M80" s="23"/>
      <c r="N80" s="23"/>
      <c r="O80" s="23"/>
      <c r="P80" s="23"/>
      <c r="Q80" s="22">
        <f>B80+C80+D80+E80+F80+G80+H80+I80+J80+K80+L80+M80+N80+O80+P80</f>
        <v>0</v>
      </c>
      <c r="R80" s="6"/>
      <c r="S80" s="6"/>
      <c r="T80" s="6"/>
    </row>
    <row r="81" spans="1:20" s="2" customFormat="1" ht="30.75" customHeight="1" thickTop="1" thickBot="1" x14ac:dyDescent="0.3">
      <c r="A81" s="24" t="s">
        <v>23</v>
      </c>
      <c r="B81" s="23">
        <f>'[1]CMF 1 '!AJ81</f>
        <v>4</v>
      </c>
      <c r="C81" s="23">
        <f>'[1]CMF 2'!AJ81</f>
        <v>8</v>
      </c>
      <c r="D81" s="23">
        <f>'[1]CMF 3'!AJ81</f>
        <v>1</v>
      </c>
      <c r="E81" s="23">
        <f>'[1]CMF 4'!AJ81</f>
        <v>4</v>
      </c>
      <c r="F81" s="23">
        <f>'[1]CMF 5'!AJ81</f>
        <v>2</v>
      </c>
      <c r="G81" s="23">
        <f>'[1]CMF 6'!AJ81</f>
        <v>4</v>
      </c>
      <c r="H81" s="23">
        <f>'[1]CMF 7'!AJ81</f>
        <v>5</v>
      </c>
      <c r="I81" s="23">
        <f>'[1]CMF 8'!AJ81</f>
        <v>1</v>
      </c>
      <c r="J81" s="23">
        <f>'[1]CMF 9'!AJ81</f>
        <v>3</v>
      </c>
      <c r="K81" s="23">
        <f>'[1]CMF 10'!AJ81</f>
        <v>4</v>
      </c>
      <c r="L81" s="23">
        <f>'[1]CMF 11'!AJ81</f>
        <v>4</v>
      </c>
      <c r="M81" s="23"/>
      <c r="N81" s="23"/>
      <c r="O81" s="23"/>
      <c r="P81" s="23"/>
      <c r="Q81" s="22">
        <f>B81+C81+D81+E81+F81+G81+H81+I81+J81+K81+L81+M81+N81+O81+P81</f>
        <v>40</v>
      </c>
      <c r="R81" s="6"/>
      <c r="S81" s="6"/>
      <c r="T81" s="6"/>
    </row>
    <row r="82" spans="1:20" s="2" customFormat="1" ht="30.75" customHeight="1" thickTop="1" thickBot="1" x14ac:dyDescent="0.3">
      <c r="A82" s="86" t="s">
        <v>86</v>
      </c>
      <c r="B82" s="85">
        <f t="shared" ref="B82:L82" si="13">SUM(B83:B85)</f>
        <v>2</v>
      </c>
      <c r="C82" s="85">
        <f t="shared" si="13"/>
        <v>1</v>
      </c>
      <c r="D82" s="85">
        <f t="shared" si="13"/>
        <v>1</v>
      </c>
      <c r="E82" s="85">
        <f t="shared" si="13"/>
        <v>2</v>
      </c>
      <c r="F82" s="85">
        <f t="shared" si="13"/>
        <v>2</v>
      </c>
      <c r="G82" s="85">
        <f t="shared" si="13"/>
        <v>0</v>
      </c>
      <c r="H82" s="85">
        <f t="shared" si="13"/>
        <v>0</v>
      </c>
      <c r="I82" s="85">
        <f t="shared" si="13"/>
        <v>7</v>
      </c>
      <c r="J82" s="85">
        <f t="shared" si="13"/>
        <v>1</v>
      </c>
      <c r="K82" s="85">
        <f t="shared" si="13"/>
        <v>0</v>
      </c>
      <c r="L82" s="85">
        <f t="shared" si="13"/>
        <v>2</v>
      </c>
      <c r="M82" s="85"/>
      <c r="N82" s="85"/>
      <c r="O82" s="85"/>
      <c r="P82" s="85"/>
      <c r="Q82" s="85">
        <f>B82+C82+D82+E82+F82+G82+H82+I82+J82+K82+L82+M82+N82+O82+P82</f>
        <v>18</v>
      </c>
      <c r="R82" s="6"/>
      <c r="S82" s="6"/>
      <c r="T82" s="6"/>
    </row>
    <row r="83" spans="1:20" s="2" customFormat="1" ht="30.75" customHeight="1" thickTop="1" thickBot="1" x14ac:dyDescent="0.3">
      <c r="A83" s="24" t="s">
        <v>81</v>
      </c>
      <c r="B83" s="23">
        <f>'[1]CMF 1 '!AJ83</f>
        <v>0</v>
      </c>
      <c r="C83" s="23">
        <f>'[1]CMF 2'!AJ83</f>
        <v>1</v>
      </c>
      <c r="D83" s="23">
        <f>'[1]CMF 3'!AJ83</f>
        <v>0</v>
      </c>
      <c r="E83" s="23">
        <f>'[1]CMF 4'!AJ83</f>
        <v>0</v>
      </c>
      <c r="F83" s="23">
        <f>'[1]CMF 5'!AJ83</f>
        <v>0</v>
      </c>
      <c r="G83" s="23">
        <f>'[1]CMF 6'!AJ83</f>
        <v>0</v>
      </c>
      <c r="H83" s="23">
        <f>'[1]CMF 7'!AJ83</f>
        <v>0</v>
      </c>
      <c r="I83" s="23">
        <f>'[1]CMF 8'!AJ83</f>
        <v>0</v>
      </c>
      <c r="J83" s="23">
        <f>'[1]CMF 9'!AJ83</f>
        <v>0</v>
      </c>
      <c r="K83" s="23">
        <f>'[1]CMF 10'!AJ83</f>
        <v>0</v>
      </c>
      <c r="L83" s="23">
        <f>'[1]CMF 11'!AJ83</f>
        <v>0</v>
      </c>
      <c r="M83" s="23"/>
      <c r="N83" s="23"/>
      <c r="O83" s="23"/>
      <c r="P83" s="23"/>
      <c r="Q83" s="22">
        <f>B83+C83+D83+E83+F83+G83+H83+I83+J83+K83+L83+M83+N83+O83+P83</f>
        <v>1</v>
      </c>
      <c r="R83" s="6"/>
      <c r="S83" s="6"/>
      <c r="T83" s="6"/>
    </row>
    <row r="84" spans="1:20" s="2" customFormat="1" ht="30.75" customHeight="1" thickTop="1" thickBot="1" x14ac:dyDescent="0.3">
      <c r="A84" s="24">
        <v>19</v>
      </c>
      <c r="B84" s="23">
        <f>'[1]CMF 1 '!AJ84</f>
        <v>0</v>
      </c>
      <c r="C84" s="23">
        <f>'[1]CMF 2'!AJ84</f>
        <v>0</v>
      </c>
      <c r="D84" s="23">
        <f>'[1]CMF 3'!AJ84</f>
        <v>0</v>
      </c>
      <c r="E84" s="23">
        <f>'[1]CMF 4'!AJ84</f>
        <v>0</v>
      </c>
      <c r="F84" s="23">
        <f>'[1]CMF 5'!AJ84</f>
        <v>0</v>
      </c>
      <c r="G84" s="23">
        <f>'[1]CMF 6'!AJ84</f>
        <v>0</v>
      </c>
      <c r="H84" s="23">
        <f>'[1]CMF 7'!AJ84</f>
        <v>0</v>
      </c>
      <c r="I84" s="23">
        <f>'[1]CMF 8'!AJ84</f>
        <v>0</v>
      </c>
      <c r="J84" s="23">
        <f>'[1]CMF 9'!AJ84</f>
        <v>0</v>
      </c>
      <c r="K84" s="23">
        <f>'[1]CMF 10'!AJ84</f>
        <v>0</v>
      </c>
      <c r="L84" s="23">
        <f>'[1]CMF 11'!AJ84</f>
        <v>0</v>
      </c>
      <c r="M84" s="23"/>
      <c r="N84" s="23"/>
      <c r="O84" s="23"/>
      <c r="P84" s="23"/>
      <c r="Q84" s="22">
        <f>B84+C84+D84+E84+F84+G84+H84+I84+J84+K84+L84+M84+N84+O84+P84</f>
        <v>0</v>
      </c>
      <c r="R84" s="6"/>
      <c r="S84" s="6"/>
      <c r="T84" s="6"/>
    </row>
    <row r="85" spans="1:20" s="2" customFormat="1" ht="30.75" customHeight="1" thickTop="1" thickBot="1" x14ac:dyDescent="0.3">
      <c r="A85" s="24" t="s">
        <v>23</v>
      </c>
      <c r="B85" s="23">
        <f>'[1]CMF 1 '!AJ85</f>
        <v>2</v>
      </c>
      <c r="C85" s="23">
        <f>'[1]CMF 2'!AJ85</f>
        <v>0</v>
      </c>
      <c r="D85" s="23">
        <f>'[1]CMF 3'!AJ85</f>
        <v>1</v>
      </c>
      <c r="E85" s="23">
        <f>'[1]CMF 4'!AJ85</f>
        <v>2</v>
      </c>
      <c r="F85" s="23">
        <f>'[1]CMF 5'!AJ85</f>
        <v>2</v>
      </c>
      <c r="G85" s="23">
        <f>'[1]CMF 6'!AJ85</f>
        <v>0</v>
      </c>
      <c r="H85" s="23">
        <f>'[1]CMF 7'!AJ85</f>
        <v>0</v>
      </c>
      <c r="I85" s="23">
        <f>'[1]CMF 8'!AJ85</f>
        <v>7</v>
      </c>
      <c r="J85" s="23">
        <f>'[1]CMF 9'!AJ85</f>
        <v>1</v>
      </c>
      <c r="K85" s="23">
        <f>'[1]CMF 10'!AJ85</f>
        <v>0</v>
      </c>
      <c r="L85" s="23">
        <f>'[1]CMF 11'!AJ85</f>
        <v>2</v>
      </c>
      <c r="M85" s="23"/>
      <c r="N85" s="23"/>
      <c r="O85" s="23"/>
      <c r="P85" s="23"/>
      <c r="Q85" s="22">
        <f>B85+C85+D85+E85+F85+G85+H85+I85+J85+K85+L85+M85+N85+O85+P85</f>
        <v>17</v>
      </c>
      <c r="R85" s="6"/>
      <c r="S85" s="6"/>
      <c r="T85" s="6"/>
    </row>
    <row r="86" spans="1:20" s="2" customFormat="1" ht="30.75" customHeight="1" thickTop="1" thickBot="1" x14ac:dyDescent="0.3">
      <c r="A86" s="82" t="s">
        <v>85</v>
      </c>
      <c r="B86" s="45">
        <f t="shared" ref="B86:L86" si="14">SUM(B87:B89)</f>
        <v>2</v>
      </c>
      <c r="C86" s="45">
        <f t="shared" si="14"/>
        <v>12</v>
      </c>
      <c r="D86" s="45">
        <f t="shared" si="14"/>
        <v>1</v>
      </c>
      <c r="E86" s="45">
        <f t="shared" si="14"/>
        <v>1</v>
      </c>
      <c r="F86" s="45">
        <f t="shared" si="14"/>
        <v>0</v>
      </c>
      <c r="G86" s="45">
        <f t="shared" si="14"/>
        <v>3</v>
      </c>
      <c r="H86" s="45">
        <f t="shared" si="14"/>
        <v>5</v>
      </c>
      <c r="I86" s="45">
        <f t="shared" si="14"/>
        <v>2</v>
      </c>
      <c r="J86" s="45">
        <f t="shared" si="14"/>
        <v>0</v>
      </c>
      <c r="K86" s="45">
        <f t="shared" si="14"/>
        <v>6</v>
      </c>
      <c r="L86" s="45">
        <f t="shared" si="14"/>
        <v>5</v>
      </c>
      <c r="M86" s="45"/>
      <c r="N86" s="45"/>
      <c r="O86" s="45"/>
      <c r="P86" s="45"/>
      <c r="Q86" s="45">
        <f>B86+C86+D86+E86+F86+G86+H86+I86+J86+K86+L86+M86+N86+O86+P86</f>
        <v>37</v>
      </c>
      <c r="R86" s="6"/>
      <c r="S86" s="6"/>
      <c r="T86" s="6"/>
    </row>
    <row r="87" spans="1:20" s="2" customFormat="1" ht="30.75" customHeight="1" thickTop="1" thickBot="1" x14ac:dyDescent="0.3">
      <c r="A87" s="24" t="s">
        <v>81</v>
      </c>
      <c r="B87" s="23">
        <f>'[1]CMF 1 '!AJ87</f>
        <v>0</v>
      </c>
      <c r="C87" s="23">
        <f>'[1]CMF 2'!AJ87</f>
        <v>0</v>
      </c>
      <c r="D87" s="23">
        <f>'[1]CMF 3'!AJ87</f>
        <v>0</v>
      </c>
      <c r="E87" s="23">
        <f>'[1]CMF 4'!AJ87</f>
        <v>0</v>
      </c>
      <c r="F87" s="23">
        <f>'[1]CMF 5'!AJ87</f>
        <v>0</v>
      </c>
      <c r="G87" s="23">
        <f>'[1]CMF 6'!AJ87</f>
        <v>1</v>
      </c>
      <c r="H87" s="23">
        <f>'[1]CMF 7'!AJ87</f>
        <v>0</v>
      </c>
      <c r="I87" s="23">
        <f>'[1]CMF 8'!AJ87</f>
        <v>0</v>
      </c>
      <c r="J87" s="23">
        <f>'[1]CMF 9'!AJ87</f>
        <v>0</v>
      </c>
      <c r="K87" s="23">
        <f>'[1]CMF 10'!AJ87</f>
        <v>0</v>
      </c>
      <c r="L87" s="23">
        <f>'[1]CMF 11'!AJ87</f>
        <v>0</v>
      </c>
      <c r="M87" s="23"/>
      <c r="N87" s="23"/>
      <c r="O87" s="23"/>
      <c r="P87" s="23"/>
      <c r="Q87" s="22">
        <f>B87+C87+D87+E87+F87+G87+H87+I87+J87+K87+L87+M87+N87+O87+P87</f>
        <v>1</v>
      </c>
      <c r="R87" s="6"/>
      <c r="S87" s="6"/>
      <c r="T87" s="6"/>
    </row>
    <row r="88" spans="1:20" s="2" customFormat="1" ht="30.75" customHeight="1" thickTop="1" thickBot="1" x14ac:dyDescent="0.3">
      <c r="A88" s="24">
        <v>19</v>
      </c>
      <c r="B88" s="23">
        <f>'[1]CMF 1 '!AJ88</f>
        <v>0</v>
      </c>
      <c r="C88" s="23">
        <f>'[1]CMF 2'!AJ88</f>
        <v>0</v>
      </c>
      <c r="D88" s="23">
        <f>'[1]CMF 3'!AJ88</f>
        <v>0</v>
      </c>
      <c r="E88" s="23">
        <f>'[1]CMF 4'!AJ88</f>
        <v>0</v>
      </c>
      <c r="F88" s="23">
        <f>'[1]CMF 5'!AJ88</f>
        <v>0</v>
      </c>
      <c r="G88" s="23">
        <f>'[1]CMF 6'!AJ88</f>
        <v>0</v>
      </c>
      <c r="H88" s="23">
        <f>'[1]CMF 7'!AJ88</f>
        <v>0</v>
      </c>
      <c r="I88" s="23">
        <f>'[1]CMF 8'!AJ88</f>
        <v>0</v>
      </c>
      <c r="J88" s="23">
        <f>'[1]CMF 9'!AJ88</f>
        <v>0</v>
      </c>
      <c r="K88" s="23">
        <f>'[1]CMF 10'!AJ88</f>
        <v>0</v>
      </c>
      <c r="L88" s="23">
        <f>'[1]CMF 11'!AJ88</f>
        <v>0</v>
      </c>
      <c r="M88" s="23"/>
      <c r="N88" s="23"/>
      <c r="O88" s="23"/>
      <c r="P88" s="23"/>
      <c r="Q88" s="22">
        <f>B88+C88+D88+E88+F88+G88+H88+I88+J88+K88+L88+M88+N88+O88+P88</f>
        <v>0</v>
      </c>
      <c r="R88" s="6"/>
      <c r="S88" s="6"/>
      <c r="T88" s="6"/>
    </row>
    <row r="89" spans="1:20" s="2" customFormat="1" ht="30.75" customHeight="1" thickTop="1" thickBot="1" x14ac:dyDescent="0.3">
      <c r="A89" s="24" t="s">
        <v>23</v>
      </c>
      <c r="B89" s="23">
        <f>'[1]CMF 1 '!AJ89</f>
        <v>2</v>
      </c>
      <c r="C89" s="23">
        <f>'[1]CMF 2'!AJ89</f>
        <v>12</v>
      </c>
      <c r="D89" s="23">
        <f>'[1]CMF 3'!AJ89</f>
        <v>1</v>
      </c>
      <c r="E89" s="23">
        <f>'[1]CMF 4'!AJ89</f>
        <v>1</v>
      </c>
      <c r="F89" s="23">
        <f>'[1]CMF 5'!AJ89</f>
        <v>0</v>
      </c>
      <c r="G89" s="23">
        <f>'[1]CMF 6'!AJ89</f>
        <v>2</v>
      </c>
      <c r="H89" s="23">
        <f>'[1]CMF 7'!AJ89</f>
        <v>5</v>
      </c>
      <c r="I89" s="23">
        <f>'[1]CMF 8'!AJ89</f>
        <v>2</v>
      </c>
      <c r="J89" s="23">
        <f>'[1]CMF 9'!AJ89</f>
        <v>0</v>
      </c>
      <c r="K89" s="23">
        <f>'[1]CMF 10'!AJ89</f>
        <v>6</v>
      </c>
      <c r="L89" s="23">
        <f>'[1]CMF 11'!AJ89</f>
        <v>5</v>
      </c>
      <c r="M89" s="23"/>
      <c r="N89" s="23"/>
      <c r="O89" s="23"/>
      <c r="P89" s="23"/>
      <c r="Q89" s="22">
        <f>B89+C89+D89+E89+F89+G89+H89+I89+J89+K89+L89+M89+N89+O89+P89</f>
        <v>36</v>
      </c>
      <c r="R89" s="6"/>
      <c r="S89" s="6"/>
      <c r="T89" s="6"/>
    </row>
    <row r="90" spans="1:20" s="2" customFormat="1" ht="30.75" customHeight="1" thickTop="1" thickBot="1" x14ac:dyDescent="0.3">
      <c r="A90" s="84" t="s">
        <v>84</v>
      </c>
      <c r="B90" s="83">
        <f>'[1]CMF 1 '!AJ90</f>
        <v>2</v>
      </c>
      <c r="C90" s="83">
        <f>'[1]CMF 2'!AJ90</f>
        <v>0</v>
      </c>
      <c r="D90" s="83">
        <f>'[1]CMF 3'!AJ90</f>
        <v>1</v>
      </c>
      <c r="E90" s="83">
        <f>'[1]CMF 4'!AJ90</f>
        <v>2</v>
      </c>
      <c r="F90" s="83">
        <f>'[1]CMF 5'!AJ90</f>
        <v>2</v>
      </c>
      <c r="G90" s="83">
        <f>'[1]CMF 6'!AJ90</f>
        <v>0</v>
      </c>
      <c r="H90" s="83">
        <f>'[1]CMF 7'!AJ90</f>
        <v>0</v>
      </c>
      <c r="I90" s="83">
        <f>'[1]CMF 8'!AJ90</f>
        <v>2</v>
      </c>
      <c r="J90" s="83">
        <f>'[1]CMF 9'!AJ90</f>
        <v>0</v>
      </c>
      <c r="K90" s="83">
        <f>'[1]CMF 10'!AJ90</f>
        <v>0</v>
      </c>
      <c r="L90" s="83">
        <f>'[1]CMF 11'!AJ90</f>
        <v>0</v>
      </c>
      <c r="M90" s="83"/>
      <c r="N90" s="83"/>
      <c r="O90" s="83"/>
      <c r="P90" s="83"/>
      <c r="Q90" s="83">
        <f>B90+C90+D90+E90+F90+G90+H90+I90+J90+K90+L90+M90+N90+O90+P90</f>
        <v>9</v>
      </c>
      <c r="R90" s="6"/>
      <c r="S90" s="6"/>
      <c r="T90" s="6"/>
    </row>
    <row r="91" spans="1:20" s="2" customFormat="1" ht="30.75" customHeight="1" thickTop="1" thickBot="1" x14ac:dyDescent="0.3">
      <c r="A91" s="82" t="s">
        <v>83</v>
      </c>
      <c r="B91" s="45">
        <f>'[1]CMF 1 '!AJ91</f>
        <v>114</v>
      </c>
      <c r="C91" s="45">
        <f>'[1]CMF 2'!AJ91</f>
        <v>121</v>
      </c>
      <c r="D91" s="45">
        <f>'[1]CMF 3'!AJ91</f>
        <v>34</v>
      </c>
      <c r="E91" s="45">
        <f>'[1]CMF 4'!AJ91</f>
        <v>23</v>
      </c>
      <c r="F91" s="45">
        <f>'[1]CMF 5'!AJ91</f>
        <v>1</v>
      </c>
      <c r="G91" s="45">
        <f>'[1]CMF 6'!AJ91</f>
        <v>23</v>
      </c>
      <c r="H91" s="45">
        <f>'[1]CMF 7'!AJ91</f>
        <v>40</v>
      </c>
      <c r="I91" s="45">
        <f>'[1]CMF 8'!AJ91</f>
        <v>31</v>
      </c>
      <c r="J91" s="45">
        <f>'[1]CMF 9'!AJ91</f>
        <v>3</v>
      </c>
      <c r="K91" s="45">
        <f>'[1]CMF 10'!AJ91</f>
        <v>17</v>
      </c>
      <c r="L91" s="45">
        <f>'[1]CMF 11'!AJ91</f>
        <v>31</v>
      </c>
      <c r="M91" s="45"/>
      <c r="N91" s="45"/>
      <c r="O91" s="45"/>
      <c r="P91" s="45"/>
      <c r="Q91" s="45">
        <f>B91+C91+D91+E91+F91+G91+H91+I91+J91+K91+L91+M91+N91+O91+P91</f>
        <v>438</v>
      </c>
      <c r="R91" s="6"/>
      <c r="S91" s="6"/>
      <c r="T91" s="6"/>
    </row>
    <row r="92" spans="1:20" s="2" customFormat="1" ht="30.75" customHeight="1" thickTop="1" thickBot="1" x14ac:dyDescent="0.3">
      <c r="A92" s="81" t="s">
        <v>82</v>
      </c>
      <c r="B92" s="80">
        <f t="shared" ref="B92:L92" si="15">SUM(B93:B95)</f>
        <v>12</v>
      </c>
      <c r="C92" s="80">
        <f t="shared" si="15"/>
        <v>15</v>
      </c>
      <c r="D92" s="80">
        <f t="shared" si="15"/>
        <v>17</v>
      </c>
      <c r="E92" s="80">
        <f t="shared" si="15"/>
        <v>15</v>
      </c>
      <c r="F92" s="80">
        <f t="shared" si="15"/>
        <v>0</v>
      </c>
      <c r="G92" s="80">
        <f t="shared" si="15"/>
        <v>3</v>
      </c>
      <c r="H92" s="80">
        <f t="shared" si="15"/>
        <v>8</v>
      </c>
      <c r="I92" s="80">
        <f t="shared" si="15"/>
        <v>13</v>
      </c>
      <c r="J92" s="80">
        <f t="shared" si="15"/>
        <v>3</v>
      </c>
      <c r="K92" s="80">
        <f t="shared" si="15"/>
        <v>19</v>
      </c>
      <c r="L92" s="80">
        <f t="shared" si="15"/>
        <v>37</v>
      </c>
      <c r="M92" s="80"/>
      <c r="N92" s="80"/>
      <c r="O92" s="80"/>
      <c r="P92" s="80"/>
      <c r="Q92" s="80">
        <f>B92+C92+D92+E92+F92+G92+H92+I92+J92+K92+L92+M92+N92+O92+P92</f>
        <v>142</v>
      </c>
      <c r="R92" s="6"/>
      <c r="S92" s="6"/>
      <c r="T92" s="6"/>
    </row>
    <row r="93" spans="1:20" s="2" customFormat="1" ht="30.75" customHeight="1" thickTop="1" thickBot="1" x14ac:dyDescent="0.3">
      <c r="A93" s="24" t="s">
        <v>81</v>
      </c>
      <c r="B93" s="23">
        <f>'[1]CMF 1 '!AJ93</f>
        <v>5</v>
      </c>
      <c r="C93" s="23">
        <f>'[1]CMF 2'!AJ93</f>
        <v>0</v>
      </c>
      <c r="D93" s="23">
        <f>'[1]CMF 3'!AJ93</f>
        <v>5</v>
      </c>
      <c r="E93" s="23">
        <f>'[1]CMF 4'!AJ93</f>
        <v>3</v>
      </c>
      <c r="F93" s="23">
        <f>'[1]CMF 5'!AJ93</f>
        <v>0</v>
      </c>
      <c r="G93" s="23">
        <f>'[1]CMF 6'!AJ93</f>
        <v>0</v>
      </c>
      <c r="H93" s="23">
        <f>'[1]CMF 7'!AJ93</f>
        <v>0</v>
      </c>
      <c r="I93" s="23">
        <f>'[1]CMF 8'!AJ93</f>
        <v>0</v>
      </c>
      <c r="J93" s="23">
        <f>'[1]CMF 9'!AJ93</f>
        <v>0</v>
      </c>
      <c r="K93" s="23">
        <f>'[1]CMF 10'!AJ93</f>
        <v>2</v>
      </c>
      <c r="L93" s="23">
        <f>'[1]CMF 11'!AJ93</f>
        <v>4</v>
      </c>
      <c r="M93" s="23"/>
      <c r="N93" s="23"/>
      <c r="O93" s="23"/>
      <c r="P93" s="23"/>
      <c r="Q93" s="22">
        <f>B93+C93+D93+E93+F93+G93+H93+I93+J93+K93+L93+M93+N93+O93+P93</f>
        <v>19</v>
      </c>
      <c r="R93" s="6"/>
      <c r="S93" s="6"/>
      <c r="T93" s="6"/>
    </row>
    <row r="94" spans="1:20" s="2" customFormat="1" ht="30.75" customHeight="1" thickTop="1" thickBot="1" x14ac:dyDescent="0.3">
      <c r="A94" s="24">
        <v>19</v>
      </c>
      <c r="B94" s="23">
        <f>'[1]CMF 1 '!AJ94</f>
        <v>0</v>
      </c>
      <c r="C94" s="23">
        <f>'[1]CMF 2'!AJ94</f>
        <v>0</v>
      </c>
      <c r="D94" s="23">
        <f>'[1]CMF 3'!AJ94</f>
        <v>0</v>
      </c>
      <c r="E94" s="23">
        <f>'[1]CMF 4'!AJ94</f>
        <v>0</v>
      </c>
      <c r="F94" s="23">
        <f>'[1]CMF 5'!AJ94</f>
        <v>0</v>
      </c>
      <c r="G94" s="23">
        <f>'[1]CMF 6'!AJ94</f>
        <v>0</v>
      </c>
      <c r="H94" s="23">
        <f>'[1]CMF 7'!AJ94</f>
        <v>1</v>
      </c>
      <c r="I94" s="23">
        <f>'[1]CMF 8'!AJ94</f>
        <v>0</v>
      </c>
      <c r="J94" s="23">
        <f>'[1]CMF 9'!AJ94</f>
        <v>0</v>
      </c>
      <c r="K94" s="23">
        <f>'[1]CMF 10'!AJ94</f>
        <v>0</v>
      </c>
      <c r="L94" s="23">
        <f>'[1]CMF 11'!AJ94</f>
        <v>0</v>
      </c>
      <c r="M94" s="23"/>
      <c r="N94" s="23"/>
      <c r="O94" s="23"/>
      <c r="P94" s="23"/>
      <c r="Q94" s="22">
        <f>B94+C94+D94+E94+F94+G94+H94+I94+J94+K94+L94+M94+N94+O94+P94</f>
        <v>1</v>
      </c>
      <c r="R94" s="6"/>
      <c r="S94" s="6"/>
      <c r="T94" s="6"/>
    </row>
    <row r="95" spans="1:20" s="2" customFormat="1" ht="30.75" customHeight="1" thickTop="1" thickBot="1" x14ac:dyDescent="0.3">
      <c r="A95" s="24" t="s">
        <v>23</v>
      </c>
      <c r="B95" s="23">
        <f>'[1]CMF 1 '!AJ95</f>
        <v>7</v>
      </c>
      <c r="C95" s="23">
        <f>'[1]CMF 2'!AJ95</f>
        <v>15</v>
      </c>
      <c r="D95" s="23">
        <f>'[1]CMF 3'!AJ95</f>
        <v>12</v>
      </c>
      <c r="E95" s="23">
        <f>'[1]CMF 4'!AJ95</f>
        <v>12</v>
      </c>
      <c r="F95" s="23">
        <f>'[1]CMF 5'!AJ95</f>
        <v>0</v>
      </c>
      <c r="G95" s="23">
        <f>'[1]CMF 6'!AJ95</f>
        <v>3</v>
      </c>
      <c r="H95" s="23">
        <f>'[1]CMF 7'!AJ95</f>
        <v>7</v>
      </c>
      <c r="I95" s="23">
        <f>'[1]CMF 8'!AJ95</f>
        <v>13</v>
      </c>
      <c r="J95" s="23">
        <f>'[1]CMF 9'!AJ95</f>
        <v>3</v>
      </c>
      <c r="K95" s="23">
        <f>'[1]CMF 10'!AJ95</f>
        <v>17</v>
      </c>
      <c r="L95" s="23">
        <f>'[1]CMF 11'!AJ95</f>
        <v>33</v>
      </c>
      <c r="M95" s="23"/>
      <c r="N95" s="23"/>
      <c r="O95" s="23"/>
      <c r="P95" s="23"/>
      <c r="Q95" s="22">
        <f>B95+C95+D95+E95+F95+G95+H95+I95+J95+K95+L95+M95+N95+O95+P95</f>
        <v>122</v>
      </c>
      <c r="R95" s="6"/>
      <c r="S95" s="6"/>
      <c r="T95" s="6"/>
    </row>
    <row r="96" spans="1:20" s="2" customFormat="1" ht="30.75" customHeight="1" thickTop="1" thickBot="1" x14ac:dyDescent="0.3">
      <c r="A96" s="79" t="s">
        <v>80</v>
      </c>
      <c r="B96" s="78">
        <f>'[1]CMF 1 '!AJ96</f>
        <v>0</v>
      </c>
      <c r="C96" s="78">
        <f>'[1]CMF 2'!AJ96</f>
        <v>0</v>
      </c>
      <c r="D96" s="78">
        <f>'[1]CMF 3'!AJ96</f>
        <v>0</v>
      </c>
      <c r="E96" s="78">
        <f>'[1]CMF 4'!AJ96</f>
        <v>0</v>
      </c>
      <c r="F96" s="78">
        <f>'[1]CMF 5'!AJ96</f>
        <v>0</v>
      </c>
      <c r="G96" s="78">
        <f>'[1]CMF 6'!AJ96</f>
        <v>0</v>
      </c>
      <c r="H96" s="78">
        <f>'[1]CMF 7'!AJ96</f>
        <v>0</v>
      </c>
      <c r="I96" s="78">
        <f>'[1]CMF 8'!AJ96</f>
        <v>0</v>
      </c>
      <c r="J96" s="78">
        <f>'[1]CMF 9'!AJ96</f>
        <v>0</v>
      </c>
      <c r="K96" s="78">
        <f>'[1]CMF 10'!AJ96</f>
        <v>0</v>
      </c>
      <c r="L96" s="78">
        <f>'[1]CMF 11'!AJ96</f>
        <v>0</v>
      </c>
      <c r="M96" s="78"/>
      <c r="N96" s="78"/>
      <c r="O96" s="78"/>
      <c r="P96" s="78"/>
      <c r="Q96" s="78">
        <f>B96+C96+D96+E96+F96+G96+H96+I96+J96+K96+L96+M96+N96+O96+P96</f>
        <v>0</v>
      </c>
      <c r="R96" s="6"/>
      <c r="S96" s="6"/>
      <c r="T96" s="6"/>
    </row>
    <row r="97" spans="1:20" ht="30.75" customHeight="1" thickTop="1" thickBot="1" x14ac:dyDescent="0.3">
      <c r="A97" s="24" t="s">
        <v>79</v>
      </c>
      <c r="B97" s="23">
        <f>'[1]CMF 1 '!AJ97</f>
        <v>0</v>
      </c>
      <c r="C97" s="23">
        <f>'[1]CMF 2'!AJ97</f>
        <v>0</v>
      </c>
      <c r="D97" s="23">
        <f>'[1]CMF 3'!AJ97</f>
        <v>0</v>
      </c>
      <c r="E97" s="23">
        <f>'[1]CMF 4'!AJ97</f>
        <v>0</v>
      </c>
      <c r="F97" s="23">
        <f>'[1]CMF 5'!AJ97</f>
        <v>0</v>
      </c>
      <c r="G97" s="23">
        <f>'[1]CMF 6'!AJ97</f>
        <v>0</v>
      </c>
      <c r="H97" s="23">
        <f>'[1]CMF 7'!AJ97</f>
        <v>0</v>
      </c>
      <c r="I97" s="23">
        <f>'[1]CMF 8'!AJ97</f>
        <v>0</v>
      </c>
      <c r="J97" s="23">
        <f>'[1]CMF 9'!AJ97</f>
        <v>0</v>
      </c>
      <c r="K97" s="23">
        <f>'[1]CMF 10'!AJ97</f>
        <v>0</v>
      </c>
      <c r="L97" s="23">
        <f>'[1]CMF 11'!AJ97</f>
        <v>0</v>
      </c>
      <c r="M97" s="23"/>
      <c r="N97" s="23"/>
      <c r="O97" s="23"/>
      <c r="P97" s="23"/>
      <c r="Q97" s="22">
        <f>B97+C97+D97+E97+F97+G97+H97+I97+J97+K97+L97+M97+N97+O97+P97</f>
        <v>0</v>
      </c>
      <c r="R97" s="6"/>
      <c r="S97" s="6"/>
      <c r="T97" s="5"/>
    </row>
    <row r="98" spans="1:20" ht="30.75" customHeight="1" thickTop="1" thickBot="1" x14ac:dyDescent="0.3">
      <c r="A98" s="24" t="s">
        <v>78</v>
      </c>
      <c r="B98" s="23">
        <f>'[1]CMF 1 '!AJ98</f>
        <v>0</v>
      </c>
      <c r="C98" s="23">
        <f>'[1]CMF 2'!AJ98</f>
        <v>0</v>
      </c>
      <c r="D98" s="23">
        <f>'[1]CMF 3'!AJ98</f>
        <v>0</v>
      </c>
      <c r="E98" s="23">
        <f>'[1]CMF 4'!AJ98</f>
        <v>0</v>
      </c>
      <c r="F98" s="23">
        <f>'[1]CMF 5'!AJ98</f>
        <v>0</v>
      </c>
      <c r="G98" s="23">
        <f>'[1]CMF 6'!AJ98</f>
        <v>0</v>
      </c>
      <c r="H98" s="23">
        <f>'[1]CMF 7'!AJ98</f>
        <v>0</v>
      </c>
      <c r="I98" s="23">
        <f>'[1]CMF 8'!AJ98</f>
        <v>0</v>
      </c>
      <c r="J98" s="23">
        <f>'[1]CMF 9'!AJ98</f>
        <v>0</v>
      </c>
      <c r="K98" s="23">
        <f>'[1]CMF 10'!AJ98</f>
        <v>0</v>
      </c>
      <c r="L98" s="23">
        <f>'[1]CMF 11'!AJ98</f>
        <v>0</v>
      </c>
      <c r="M98" s="23"/>
      <c r="N98" s="23"/>
      <c r="O98" s="23"/>
      <c r="P98" s="23"/>
      <c r="Q98" s="22">
        <f>B98+C98+D98+E98+F98+G98+H98+I98+J98+K98+L98+M98+N98+O98+P98</f>
        <v>0</v>
      </c>
      <c r="R98" s="6"/>
      <c r="S98" s="6"/>
      <c r="T98" s="5"/>
    </row>
    <row r="99" spans="1:20" ht="30.75" customHeight="1" thickTop="1" thickBot="1" x14ac:dyDescent="0.3">
      <c r="A99" s="24" t="s">
        <v>77</v>
      </c>
      <c r="B99" s="23">
        <f>'[1]CMF 1 '!AJ99</f>
        <v>0</v>
      </c>
      <c r="C99" s="23">
        <f>'[1]CMF 2'!AJ99</f>
        <v>0</v>
      </c>
      <c r="D99" s="23">
        <f>'[1]CMF 3'!AJ99</f>
        <v>0</v>
      </c>
      <c r="E99" s="23">
        <f>'[1]CMF 4'!AJ99</f>
        <v>0</v>
      </c>
      <c r="F99" s="23">
        <f>'[1]CMF 5'!AJ99</f>
        <v>0</v>
      </c>
      <c r="G99" s="23">
        <f>'[1]CMF 6'!AJ99</f>
        <v>0</v>
      </c>
      <c r="H99" s="23">
        <f>'[1]CMF 7'!AJ99</f>
        <v>0</v>
      </c>
      <c r="I99" s="23">
        <f>'[1]CMF 8'!AJ99</f>
        <v>0</v>
      </c>
      <c r="J99" s="23">
        <f>'[1]CMF 9'!AJ99</f>
        <v>0</v>
      </c>
      <c r="K99" s="23">
        <f>'[1]CMF 10'!AJ99</f>
        <v>0</v>
      </c>
      <c r="L99" s="23">
        <f>'[1]CMF 11'!AJ99</f>
        <v>0</v>
      </c>
      <c r="M99" s="23"/>
      <c r="N99" s="23"/>
      <c r="O99" s="23"/>
      <c r="P99" s="23"/>
      <c r="Q99" s="22">
        <f>B99+C99+D99+E99+F99+G99+H99+I99+J99+K99+L99+M99+N99+O99+P99</f>
        <v>0</v>
      </c>
      <c r="R99" s="6"/>
      <c r="S99" s="6"/>
      <c r="T99" s="5"/>
    </row>
    <row r="100" spans="1:20" ht="30.75" customHeight="1" thickTop="1" thickBot="1" x14ac:dyDescent="0.3">
      <c r="A100" s="24" t="s">
        <v>76</v>
      </c>
      <c r="B100" s="23">
        <f>'[1]CMF 1 '!AJ100</f>
        <v>0</v>
      </c>
      <c r="C100" s="23">
        <f>'[1]CMF 2'!AJ100</f>
        <v>0</v>
      </c>
      <c r="D100" s="23">
        <f>'[1]CMF 3'!AJ100</f>
        <v>0</v>
      </c>
      <c r="E100" s="23">
        <f>'[1]CMF 4'!AJ100</f>
        <v>0</v>
      </c>
      <c r="F100" s="23">
        <f>'[1]CMF 5'!AJ100</f>
        <v>0</v>
      </c>
      <c r="G100" s="23">
        <f>'[1]CMF 6'!AJ100</f>
        <v>0</v>
      </c>
      <c r="H100" s="23">
        <f>'[1]CMF 7'!AJ100</f>
        <v>0</v>
      </c>
      <c r="I100" s="23">
        <f>'[1]CMF 8'!AJ100</f>
        <v>0</v>
      </c>
      <c r="J100" s="23">
        <f>'[1]CMF 9'!AJ100</f>
        <v>0</v>
      </c>
      <c r="K100" s="23">
        <f>'[1]CMF 10'!AJ100</f>
        <v>0</v>
      </c>
      <c r="L100" s="23">
        <f>'[1]CMF 11'!AJ100</f>
        <v>0</v>
      </c>
      <c r="M100" s="23"/>
      <c r="N100" s="23"/>
      <c r="O100" s="23"/>
      <c r="P100" s="23"/>
      <c r="Q100" s="22">
        <f>B100+C100+D100+E100+F100+G100+H100+I100+J100+K100+L100+M100+N100+O100+P100</f>
        <v>0</v>
      </c>
      <c r="R100" s="6"/>
      <c r="S100" s="6"/>
      <c r="T100" s="5"/>
    </row>
    <row r="101" spans="1:20" ht="30.75" customHeight="1" thickTop="1" thickBot="1" x14ac:dyDescent="0.3">
      <c r="A101" s="24" t="s">
        <v>75</v>
      </c>
      <c r="B101" s="30">
        <f>'[1]CMF 1 '!AJ101</f>
        <v>0</v>
      </c>
      <c r="C101" s="30">
        <f>'[1]CMF 2'!AJ101</f>
        <v>0</v>
      </c>
      <c r="D101" s="30">
        <f>'[1]CMF 3'!AJ101</f>
        <v>0</v>
      </c>
      <c r="E101" s="30">
        <f>'[1]CMF 4'!AJ101</f>
        <v>0</v>
      </c>
      <c r="F101" s="30">
        <f>'[1]CMF 5'!AJ101</f>
        <v>0</v>
      </c>
      <c r="G101" s="30">
        <f>'[1]CMF 6'!AJ101</f>
        <v>0</v>
      </c>
      <c r="H101" s="30">
        <f>'[1]CMF 7'!AJ101</f>
        <v>0</v>
      </c>
      <c r="I101" s="30">
        <f>'[1]CMF 8'!AJ101</f>
        <v>0</v>
      </c>
      <c r="J101" s="30">
        <f>'[1]CMF 9'!AJ101</f>
        <v>0</v>
      </c>
      <c r="K101" s="30">
        <f>'[1]CMF 10'!AJ101</f>
        <v>0</v>
      </c>
      <c r="L101" s="30">
        <f>'[1]CMF 11'!AJ101</f>
        <v>0</v>
      </c>
      <c r="M101" s="30"/>
      <c r="N101" s="30"/>
      <c r="O101" s="30"/>
      <c r="P101" s="30"/>
      <c r="Q101" s="22">
        <f>B101+C101+D101+E101+F101+G101+H101+I101+J101+K101+L101+M101+N101+O101+P101</f>
        <v>0</v>
      </c>
      <c r="R101" s="6"/>
      <c r="S101" s="6"/>
      <c r="T101" s="5"/>
    </row>
    <row r="102" spans="1:20" ht="30.75" customHeight="1" thickTop="1" thickBot="1" x14ac:dyDescent="0.3">
      <c r="A102" s="77" t="s">
        <v>74</v>
      </c>
      <c r="B102" s="76">
        <f t="shared" ref="B102:L102" si="16">SUM(B103+B104+B105+B106+B107)</f>
        <v>0</v>
      </c>
      <c r="C102" s="76">
        <f t="shared" si="16"/>
        <v>0</v>
      </c>
      <c r="D102" s="76">
        <f t="shared" si="16"/>
        <v>0</v>
      </c>
      <c r="E102" s="76">
        <f t="shared" si="16"/>
        <v>0</v>
      </c>
      <c r="F102" s="76">
        <f t="shared" si="16"/>
        <v>0</v>
      </c>
      <c r="G102" s="76">
        <f t="shared" si="16"/>
        <v>0</v>
      </c>
      <c r="H102" s="76">
        <f t="shared" si="16"/>
        <v>0</v>
      </c>
      <c r="I102" s="76">
        <f t="shared" si="16"/>
        <v>0</v>
      </c>
      <c r="J102" s="76">
        <f t="shared" si="16"/>
        <v>0</v>
      </c>
      <c r="K102" s="76">
        <f t="shared" si="16"/>
        <v>0</v>
      </c>
      <c r="L102" s="76">
        <f t="shared" si="16"/>
        <v>0</v>
      </c>
      <c r="M102" s="76"/>
      <c r="N102" s="76"/>
      <c r="O102" s="76"/>
      <c r="P102" s="76"/>
      <c r="Q102" s="76">
        <f>B102+C102+D102+E102+F102+G102+H102+I102+J102+K102+L102+M102+N102+O102+P102</f>
        <v>0</v>
      </c>
      <c r="R102" s="6"/>
      <c r="S102" s="6"/>
      <c r="T102" s="5"/>
    </row>
    <row r="103" spans="1:20" ht="30.75" customHeight="1" thickTop="1" thickBot="1" x14ac:dyDescent="0.3">
      <c r="A103" s="75" t="s">
        <v>73</v>
      </c>
      <c r="B103" s="73">
        <f>'[1]CMF 1 '!AJ103</f>
        <v>0</v>
      </c>
      <c r="C103" s="73">
        <f>'[1]CMF 2'!AJ103</f>
        <v>0</v>
      </c>
      <c r="D103" s="73">
        <f>'[1]CMF 3'!AJ103</f>
        <v>0</v>
      </c>
      <c r="E103" s="73">
        <f>'[1]CMF 4'!AJ103</f>
        <v>0</v>
      </c>
      <c r="F103" s="73">
        <f>'[1]CMF 5'!AJ103</f>
        <v>0</v>
      </c>
      <c r="G103" s="73">
        <f>'[1]CMF 6'!AJ103</f>
        <v>0</v>
      </c>
      <c r="H103" s="73">
        <f>'[1]CMF 7'!AJ103</f>
        <v>0</v>
      </c>
      <c r="I103" s="73">
        <f>'[1]CMF 8'!AJ103</f>
        <v>0</v>
      </c>
      <c r="J103" s="73">
        <f>'[1]CMF 9'!AJ103</f>
        <v>0</v>
      </c>
      <c r="K103" s="73">
        <f>'[1]CMF 10'!AJ103</f>
        <v>0</v>
      </c>
      <c r="L103" s="73">
        <f>'[1]CMF 11'!AJ103</f>
        <v>0</v>
      </c>
      <c r="M103" s="73"/>
      <c r="N103" s="73"/>
      <c r="O103" s="73"/>
      <c r="P103" s="73"/>
      <c r="Q103" s="25">
        <f>B103+C103+D103+E103+F103+G103+H103+I103+J103+K103+L103+M103+N103+O103+P103</f>
        <v>0</v>
      </c>
      <c r="R103" s="6"/>
      <c r="S103" s="6"/>
      <c r="T103" s="5"/>
    </row>
    <row r="104" spans="1:20" ht="30.75" customHeight="1" thickTop="1" thickBot="1" x14ac:dyDescent="0.3">
      <c r="A104" s="74" t="s">
        <v>72</v>
      </c>
      <c r="B104" s="73">
        <f>'[1]CMF 1 '!AJ104</f>
        <v>0</v>
      </c>
      <c r="C104" s="73">
        <f>'[1]CMF 2'!AJ104</f>
        <v>0</v>
      </c>
      <c r="D104" s="73">
        <f>'[1]CMF 3'!AJ104</f>
        <v>0</v>
      </c>
      <c r="E104" s="73">
        <f>'[1]CMF 4'!AJ104</f>
        <v>0</v>
      </c>
      <c r="F104" s="73">
        <f>'[1]CMF 5'!AJ104</f>
        <v>0</v>
      </c>
      <c r="G104" s="73">
        <f>'[1]CMF 6'!AJ104</f>
        <v>0</v>
      </c>
      <c r="H104" s="73">
        <f>'[1]CMF 7'!AJ104</f>
        <v>0</v>
      </c>
      <c r="I104" s="73">
        <f>'[1]CMF 8'!AJ104</f>
        <v>0</v>
      </c>
      <c r="J104" s="73">
        <f>'[1]CMF 9'!AJ104</f>
        <v>0</v>
      </c>
      <c r="K104" s="73">
        <f>'[1]CMF 10'!AJ104</f>
        <v>0</v>
      </c>
      <c r="L104" s="73">
        <f>'[1]CMF 11'!AJ104</f>
        <v>0</v>
      </c>
      <c r="M104" s="73"/>
      <c r="N104" s="73"/>
      <c r="O104" s="73"/>
      <c r="P104" s="73"/>
      <c r="Q104" s="25">
        <f>B104+C104+D104+E104+F104+G104+H104+I104+J104+K104+L104+M104+N104+O104+P104</f>
        <v>0</v>
      </c>
      <c r="R104" s="6"/>
      <c r="S104" s="6"/>
      <c r="T104" s="5"/>
    </row>
    <row r="105" spans="1:20" ht="30.75" customHeight="1" thickTop="1" thickBot="1" x14ac:dyDescent="0.3">
      <c r="A105" s="74">
        <v>19</v>
      </c>
      <c r="B105" s="73">
        <f>'[1]CMF 1 '!AJ105</f>
        <v>0</v>
      </c>
      <c r="C105" s="73">
        <f>'[1]CMF 2'!AJ105</f>
        <v>0</v>
      </c>
      <c r="D105" s="73">
        <f>'[1]CMF 3'!AJ105</f>
        <v>0</v>
      </c>
      <c r="E105" s="73">
        <f>'[1]CMF 4'!AJ105</f>
        <v>0</v>
      </c>
      <c r="F105" s="73">
        <f>'[1]CMF 5'!AJ105</f>
        <v>0</v>
      </c>
      <c r="G105" s="73">
        <f>'[1]CMF 6'!AJ105</f>
        <v>0</v>
      </c>
      <c r="H105" s="73">
        <f>'[1]CMF 7'!AJ105</f>
        <v>0</v>
      </c>
      <c r="I105" s="73">
        <f>'[1]CMF 8'!AJ105</f>
        <v>0</v>
      </c>
      <c r="J105" s="73">
        <f>'[1]CMF 9'!AJ105</f>
        <v>0</v>
      </c>
      <c r="K105" s="73">
        <f>'[1]CMF 10'!AJ105</f>
        <v>0</v>
      </c>
      <c r="L105" s="73">
        <f>'[1]CMF 11'!AJ105</f>
        <v>0</v>
      </c>
      <c r="M105" s="73"/>
      <c r="N105" s="73"/>
      <c r="O105" s="73"/>
      <c r="P105" s="73"/>
      <c r="Q105" s="25">
        <f>B105+C105+D105+E105+F105+G105+H105+I105+J105+K105+L105+M105+N105+O105+P105</f>
        <v>0</v>
      </c>
      <c r="R105" s="6"/>
      <c r="S105" s="109"/>
      <c r="T105" s="109"/>
    </row>
    <row r="106" spans="1:20" ht="30.75" customHeight="1" thickTop="1" thickBot="1" x14ac:dyDescent="0.3">
      <c r="A106" s="74" t="s">
        <v>71</v>
      </c>
      <c r="B106" s="73">
        <f>'[1]CMF 1 '!AJ106</f>
        <v>0</v>
      </c>
      <c r="C106" s="73">
        <f>'[1]CMF 2'!AJ106</f>
        <v>0</v>
      </c>
      <c r="D106" s="73">
        <f>'[1]CMF 3'!AJ106</f>
        <v>0</v>
      </c>
      <c r="E106" s="73">
        <f>'[1]CMF 4'!AJ106</f>
        <v>0</v>
      </c>
      <c r="F106" s="73">
        <f>'[1]CMF 5'!AJ106</f>
        <v>0</v>
      </c>
      <c r="G106" s="73">
        <f>'[1]CMF 6'!AJ106</f>
        <v>0</v>
      </c>
      <c r="H106" s="73">
        <f>'[1]CMF 7'!AJ106</f>
        <v>0</v>
      </c>
      <c r="I106" s="73">
        <f>'[1]CMF 8'!AJ106</f>
        <v>0</v>
      </c>
      <c r="J106" s="73">
        <f>'[1]CMF 9'!AJ106</f>
        <v>0</v>
      </c>
      <c r="K106" s="73">
        <f>'[1]CMF 10'!AJ106</f>
        <v>0</v>
      </c>
      <c r="L106" s="73">
        <f>'[1]CMF 11'!AJ106</f>
        <v>0</v>
      </c>
      <c r="M106" s="73"/>
      <c r="N106" s="73"/>
      <c r="O106" s="73"/>
      <c r="P106" s="73"/>
      <c r="Q106" s="25">
        <f>B106+C106+D106+E106+F106+G106+H106+I106+J106+K106+L106+M106+N106+O106+P106</f>
        <v>0</v>
      </c>
      <c r="R106" s="6"/>
      <c r="S106" s="6"/>
      <c r="T106" s="5"/>
    </row>
    <row r="107" spans="1:20" ht="30.75" customHeight="1" thickTop="1" thickBot="1" x14ac:dyDescent="0.3">
      <c r="A107" s="74" t="s">
        <v>70</v>
      </c>
      <c r="B107" s="73">
        <f>'[1]CMF 1 '!AJ107</f>
        <v>0</v>
      </c>
      <c r="C107" s="73">
        <f>'[1]CMF 2'!AJ107</f>
        <v>0</v>
      </c>
      <c r="D107" s="73">
        <f>'[1]CMF 3'!AJ107</f>
        <v>0</v>
      </c>
      <c r="E107" s="73">
        <f>'[1]CMF 4'!AJ107</f>
        <v>0</v>
      </c>
      <c r="F107" s="73">
        <f>'[1]CMF 5'!AJ107</f>
        <v>0</v>
      </c>
      <c r="G107" s="73">
        <f>'[1]CMF 6'!AJ107</f>
        <v>0</v>
      </c>
      <c r="H107" s="73">
        <f>'[1]CMF 7'!AJ107</f>
        <v>0</v>
      </c>
      <c r="I107" s="73">
        <f>'[1]CMF 8'!AJ107</f>
        <v>0</v>
      </c>
      <c r="J107" s="73">
        <f>'[1]CMF 9'!AJ107</f>
        <v>0</v>
      </c>
      <c r="K107" s="73">
        <f>'[1]CMF 10'!AJ107</f>
        <v>0</v>
      </c>
      <c r="L107" s="73">
        <f>'[1]CMF 11'!AJ107</f>
        <v>0</v>
      </c>
      <c r="M107" s="73"/>
      <c r="N107" s="73"/>
      <c r="O107" s="73"/>
      <c r="P107" s="73"/>
      <c r="Q107" s="25">
        <f>B107+C107+D107+E107+F107+G107+H107+I107+J107+K107+L107+M107+N107+O107+P107</f>
        <v>0</v>
      </c>
      <c r="R107" s="6"/>
      <c r="S107" s="6"/>
      <c r="T107" s="5"/>
    </row>
    <row r="108" spans="1:20" ht="30.75" customHeight="1" thickTop="1" thickBot="1" x14ac:dyDescent="0.3">
      <c r="A108" s="47"/>
      <c r="B108" s="46">
        <f>'[1]CMF 1 '!AJ108</f>
        <v>0</v>
      </c>
      <c r="C108" s="46">
        <f>'[1]CMF 2'!AJ108</f>
        <v>0</v>
      </c>
      <c r="D108" s="46">
        <f>'[1]CMF 3'!AJ108</f>
        <v>0</v>
      </c>
      <c r="E108" s="46">
        <f>'[1]CMF 4'!AJ108</f>
        <v>0</v>
      </c>
      <c r="F108" s="46">
        <f>'[1]CMF 5'!AJ108</f>
        <v>0</v>
      </c>
      <c r="G108" s="46">
        <f>'[1]CMF 6'!AJ108</f>
        <v>0</v>
      </c>
      <c r="H108" s="46">
        <f>'[1]CMF 7'!AJ108</f>
        <v>0</v>
      </c>
      <c r="I108" s="46">
        <f>'[1]CMF 8'!AJ108</f>
        <v>0</v>
      </c>
      <c r="J108" s="46">
        <f>'[1]CMF 9'!AJ108</f>
        <v>0</v>
      </c>
      <c r="K108" s="46">
        <f>'[1]CMF 10'!AJ108</f>
        <v>0</v>
      </c>
      <c r="L108" s="46">
        <f>'[1]CMF 11'!AJ108</f>
        <v>0</v>
      </c>
      <c r="M108" s="46"/>
      <c r="N108" s="46"/>
      <c r="O108" s="46"/>
      <c r="P108" s="46"/>
      <c r="Q108" s="45">
        <f>B108+C108+D108+E108+F108+G108+H108+I108+J108+K108+L108+M108+N108+O108+P108</f>
        <v>0</v>
      </c>
      <c r="R108" s="6"/>
      <c r="S108" s="6"/>
      <c r="T108" s="5"/>
    </row>
    <row r="109" spans="1:20" ht="30.75" customHeight="1" thickTop="1" thickBot="1" x14ac:dyDescent="0.3">
      <c r="A109" s="20" t="s">
        <v>9</v>
      </c>
      <c r="B109" s="19">
        <v>1</v>
      </c>
      <c r="C109" s="19">
        <v>2</v>
      </c>
      <c r="D109" s="19">
        <v>3</v>
      </c>
      <c r="E109" s="19">
        <v>4</v>
      </c>
      <c r="F109" s="19">
        <v>5</v>
      </c>
      <c r="G109" s="19">
        <v>6</v>
      </c>
      <c r="H109" s="19">
        <v>7</v>
      </c>
      <c r="I109" s="19">
        <v>8</v>
      </c>
      <c r="J109" s="19">
        <v>9</v>
      </c>
      <c r="K109" s="19">
        <v>10</v>
      </c>
      <c r="L109" s="19">
        <v>11</v>
      </c>
      <c r="M109" s="19"/>
      <c r="N109" s="19"/>
      <c r="O109" s="19"/>
      <c r="P109" s="19"/>
      <c r="Q109" s="18" t="s">
        <v>8</v>
      </c>
      <c r="R109" s="6"/>
      <c r="S109" s="6"/>
      <c r="T109" s="5"/>
    </row>
    <row r="110" spans="1:20" ht="30.75" customHeight="1" thickTop="1" thickBot="1" x14ac:dyDescent="0.3">
      <c r="A110" s="72" t="s">
        <v>69</v>
      </c>
      <c r="B110" s="71">
        <f t="shared" ref="B110:L110" si="17">SUM(B111:B115)</f>
        <v>5</v>
      </c>
      <c r="C110" s="71">
        <f t="shared" si="17"/>
        <v>4</v>
      </c>
      <c r="D110" s="71">
        <f t="shared" si="17"/>
        <v>21</v>
      </c>
      <c r="E110" s="71">
        <f t="shared" si="17"/>
        <v>23</v>
      </c>
      <c r="F110" s="71">
        <f t="shared" si="17"/>
        <v>14</v>
      </c>
      <c r="G110" s="71">
        <f t="shared" si="17"/>
        <v>15</v>
      </c>
      <c r="H110" s="71">
        <f t="shared" si="17"/>
        <v>24</v>
      </c>
      <c r="I110" s="71">
        <f t="shared" si="17"/>
        <v>13</v>
      </c>
      <c r="J110" s="71">
        <f t="shared" si="17"/>
        <v>3</v>
      </c>
      <c r="K110" s="71">
        <f t="shared" si="17"/>
        <v>7</v>
      </c>
      <c r="L110" s="71">
        <f t="shared" si="17"/>
        <v>10</v>
      </c>
      <c r="M110" s="71"/>
      <c r="N110" s="71"/>
      <c r="O110" s="71"/>
      <c r="P110" s="71"/>
      <c r="Q110" s="71">
        <f>B110+C110+D110+E110+F110+G110+H110+I110+J110+K110+L110+M110+N110+O110+P110</f>
        <v>139</v>
      </c>
      <c r="R110" s="6"/>
      <c r="S110" s="6"/>
      <c r="T110" s="5"/>
    </row>
    <row r="111" spans="1:20" ht="30.75" customHeight="1" thickTop="1" thickBot="1" x14ac:dyDescent="0.3">
      <c r="A111" s="24" t="s">
        <v>19</v>
      </c>
      <c r="B111" s="23">
        <f>'[1]CMF 1 '!AJ111</f>
        <v>0</v>
      </c>
      <c r="C111" s="23">
        <f>'[1]CMF 2'!AJ111</f>
        <v>0</v>
      </c>
      <c r="D111" s="23">
        <f>'[1]CMF 3'!AJ111</f>
        <v>0</v>
      </c>
      <c r="E111" s="23">
        <f>'[1]CMF 4'!AJ111</f>
        <v>0</v>
      </c>
      <c r="F111" s="23">
        <f>'[1]CMF 5'!AJ111</f>
        <v>2</v>
      </c>
      <c r="G111" s="23">
        <f>'[1]CMF 6'!AJ111</f>
        <v>0</v>
      </c>
      <c r="H111" s="23">
        <f>'[1]CMF 7'!AJ111</f>
        <v>1</v>
      </c>
      <c r="I111" s="23">
        <f>'[1]CMF 8'!AJ111</f>
        <v>0</v>
      </c>
      <c r="J111" s="23">
        <f>'[1]CMF 9'!AJ111</f>
        <v>0</v>
      </c>
      <c r="K111" s="23">
        <f>'[1]CMF 10'!AJ111</f>
        <v>0</v>
      </c>
      <c r="L111" s="23">
        <f>'[1]CMF 11'!AJ111</f>
        <v>0</v>
      </c>
      <c r="M111" s="23"/>
      <c r="N111" s="23"/>
      <c r="O111" s="23"/>
      <c r="P111" s="23"/>
      <c r="Q111" s="22">
        <f>B111+C111+D111+E111+F111+G111+H111+I111+J111+K111+L111+M111+N111+O111+P111</f>
        <v>3</v>
      </c>
      <c r="R111" s="6"/>
      <c r="S111" s="6"/>
      <c r="T111" s="5"/>
    </row>
    <row r="112" spans="1:20" ht="30.75" customHeight="1" thickTop="1" thickBot="1" x14ac:dyDescent="0.3">
      <c r="A112" s="24" t="s">
        <v>18</v>
      </c>
      <c r="B112" s="23">
        <f>'[1]CMF 1 '!AJ112</f>
        <v>2</v>
      </c>
      <c r="C112" s="23">
        <f>'[1]CMF 2'!AJ112</f>
        <v>1</v>
      </c>
      <c r="D112" s="23">
        <f>'[1]CMF 3'!AJ112</f>
        <v>0</v>
      </c>
      <c r="E112" s="23">
        <f>'[1]CMF 4'!AJ112</f>
        <v>0</v>
      </c>
      <c r="F112" s="23">
        <f>'[1]CMF 5'!AJ112</f>
        <v>2</v>
      </c>
      <c r="G112" s="23">
        <f>'[1]CMF 6'!AJ112</f>
        <v>2</v>
      </c>
      <c r="H112" s="23">
        <f>'[1]CMF 7'!AJ112</f>
        <v>2</v>
      </c>
      <c r="I112" s="23">
        <f>'[1]CMF 8'!AJ112</f>
        <v>4</v>
      </c>
      <c r="J112" s="23">
        <f>'[1]CMF 9'!AJ112</f>
        <v>2</v>
      </c>
      <c r="K112" s="23">
        <f>'[1]CMF 10'!AJ112</f>
        <v>1</v>
      </c>
      <c r="L112" s="23">
        <f>'[1]CMF 11'!AJ112</f>
        <v>0</v>
      </c>
      <c r="M112" s="23"/>
      <c r="N112" s="23"/>
      <c r="O112" s="23"/>
      <c r="P112" s="23"/>
      <c r="Q112" s="22">
        <f>B112+C112+D112+E112+F112+G112+H112+I112+J112+K112+L112+M112+N112+O112+P112</f>
        <v>16</v>
      </c>
      <c r="R112" s="6"/>
      <c r="S112" s="6"/>
      <c r="T112" s="5"/>
    </row>
    <row r="113" spans="1:20" s="2" customFormat="1" ht="30.75" customHeight="1" thickTop="1" thickBot="1" x14ac:dyDescent="0.3">
      <c r="A113" s="24" t="s">
        <v>17</v>
      </c>
      <c r="B113" s="23">
        <f>'[1]CMF 1 '!AJ113</f>
        <v>1</v>
      </c>
      <c r="C113" s="23">
        <f>'[1]CMF 2'!AJ113</f>
        <v>1</v>
      </c>
      <c r="D113" s="23">
        <f>'[1]CMF 3'!AJ113</f>
        <v>5</v>
      </c>
      <c r="E113" s="23">
        <f>'[1]CMF 4'!AJ113</f>
        <v>8</v>
      </c>
      <c r="F113" s="23">
        <f>'[1]CMF 5'!AJ113</f>
        <v>4</v>
      </c>
      <c r="G113" s="23">
        <f>'[1]CMF 6'!AJ113</f>
        <v>4</v>
      </c>
      <c r="H113" s="23">
        <f>'[1]CMF 7'!AJ113</f>
        <v>8</v>
      </c>
      <c r="I113" s="23">
        <f>'[1]CMF 8'!AJ113</f>
        <v>3</v>
      </c>
      <c r="J113" s="23">
        <f>'[1]CMF 9'!AJ113</f>
        <v>1</v>
      </c>
      <c r="K113" s="23">
        <f>'[1]CMF 10'!AJ113</f>
        <v>3</v>
      </c>
      <c r="L113" s="23">
        <f>'[1]CMF 11'!AJ113</f>
        <v>2</v>
      </c>
      <c r="M113" s="23"/>
      <c r="N113" s="23"/>
      <c r="O113" s="23"/>
      <c r="P113" s="23"/>
      <c r="Q113" s="22">
        <f>B113+C113+D113+E113+F113+G113+H113+I113+J113+K113+L113+M113+N113+O113+P113</f>
        <v>40</v>
      </c>
      <c r="R113" s="6"/>
      <c r="S113" s="6"/>
      <c r="T113" s="6"/>
    </row>
    <row r="114" spans="1:20" s="2" customFormat="1" ht="30.75" customHeight="1" thickTop="1" thickBot="1" x14ac:dyDescent="0.3">
      <c r="A114" s="24" t="s">
        <v>16</v>
      </c>
      <c r="B114" s="23">
        <f>'[1]CMF 1 '!AJ114</f>
        <v>1</v>
      </c>
      <c r="C114" s="23">
        <f>'[1]CMF 2'!AJ114</f>
        <v>2</v>
      </c>
      <c r="D114" s="23">
        <f>'[1]CMF 3'!AJ114</f>
        <v>1</v>
      </c>
      <c r="E114" s="23">
        <f>'[1]CMF 4'!AJ114</f>
        <v>12</v>
      </c>
      <c r="F114" s="23">
        <f>'[1]CMF 5'!AJ114</f>
        <v>0</v>
      </c>
      <c r="G114" s="23">
        <f>'[1]CMF 6'!AJ114</f>
        <v>6</v>
      </c>
      <c r="H114" s="23">
        <f>'[1]CMF 7'!AJ114</f>
        <v>9</v>
      </c>
      <c r="I114" s="23">
        <f>'[1]CMF 8'!AJ114</f>
        <v>4</v>
      </c>
      <c r="J114" s="23">
        <f>'[1]CMF 9'!AJ114</f>
        <v>0</v>
      </c>
      <c r="K114" s="23">
        <f>'[1]CMF 10'!AJ114</f>
        <v>0</v>
      </c>
      <c r="L114" s="23">
        <f>'[1]CMF 11'!AJ114</f>
        <v>0</v>
      </c>
      <c r="M114" s="23"/>
      <c r="N114" s="23"/>
      <c r="O114" s="23"/>
      <c r="P114" s="23"/>
      <c r="Q114" s="22">
        <f>B114+C114+D114+E114+F114+G114+H114+I114+J114+K114+L114+M114+N114+O114+P114</f>
        <v>35</v>
      </c>
      <c r="R114" s="6"/>
      <c r="S114" s="6"/>
      <c r="T114" s="6"/>
    </row>
    <row r="115" spans="1:20" s="2" customFormat="1" ht="30.75" customHeight="1" thickTop="1" thickBot="1" x14ac:dyDescent="0.3">
      <c r="A115" s="24" t="s">
        <v>15</v>
      </c>
      <c r="B115" s="23">
        <f>'[1]CMF 1 '!AJ115</f>
        <v>1</v>
      </c>
      <c r="C115" s="23">
        <f>'[1]CMF 2'!AJ115</f>
        <v>0</v>
      </c>
      <c r="D115" s="23">
        <f>'[1]CMF 3'!AJ115</f>
        <v>15</v>
      </c>
      <c r="E115" s="23">
        <f>'[1]CMF 4'!AJ115</f>
        <v>3</v>
      </c>
      <c r="F115" s="23">
        <f>'[1]CMF 5'!AJ115</f>
        <v>6</v>
      </c>
      <c r="G115" s="23">
        <f>'[1]CMF 6'!AJ115</f>
        <v>3</v>
      </c>
      <c r="H115" s="23">
        <f>'[1]CMF 7'!AJ115</f>
        <v>4</v>
      </c>
      <c r="I115" s="23">
        <f>'[1]CMF 8'!AJ115</f>
        <v>2</v>
      </c>
      <c r="J115" s="23">
        <f>'[1]CMF 9'!AJ115</f>
        <v>0</v>
      </c>
      <c r="K115" s="23">
        <f>'[1]CMF 10'!AJ115</f>
        <v>3</v>
      </c>
      <c r="L115" s="23">
        <f>'[1]CMF 11'!AJ115</f>
        <v>8</v>
      </c>
      <c r="M115" s="23"/>
      <c r="N115" s="23"/>
      <c r="O115" s="23"/>
      <c r="P115" s="23"/>
      <c r="Q115" s="22">
        <f>B115+C115+D115+E115+F115+G115+H115+I115+J115+K115+L115+M115+N115+O115+P115</f>
        <v>45</v>
      </c>
      <c r="R115" s="6"/>
      <c r="S115" s="6"/>
      <c r="T115" s="6"/>
    </row>
    <row r="116" spans="1:20" s="2" customFormat="1" ht="30.75" customHeight="1" thickTop="1" thickBot="1" x14ac:dyDescent="0.3">
      <c r="A116" s="70" t="s">
        <v>21</v>
      </c>
      <c r="B116" s="69">
        <f t="shared" ref="B116:L116" si="18">SUM(B117:B121)</f>
        <v>12</v>
      </c>
      <c r="C116" s="69">
        <f t="shared" si="18"/>
        <v>5</v>
      </c>
      <c r="D116" s="69">
        <f t="shared" si="18"/>
        <v>15</v>
      </c>
      <c r="E116" s="69">
        <f t="shared" si="18"/>
        <v>38</v>
      </c>
      <c r="F116" s="69">
        <f t="shared" si="18"/>
        <v>4</v>
      </c>
      <c r="G116" s="69">
        <f t="shared" si="18"/>
        <v>19</v>
      </c>
      <c r="H116" s="69">
        <f t="shared" si="18"/>
        <v>21</v>
      </c>
      <c r="I116" s="69">
        <f t="shared" si="18"/>
        <v>39</v>
      </c>
      <c r="J116" s="69">
        <f t="shared" si="18"/>
        <v>2</v>
      </c>
      <c r="K116" s="69">
        <f t="shared" si="18"/>
        <v>9</v>
      </c>
      <c r="L116" s="69">
        <f t="shared" si="18"/>
        <v>16</v>
      </c>
      <c r="M116" s="69"/>
      <c r="N116" s="69"/>
      <c r="O116" s="69"/>
      <c r="P116" s="69"/>
      <c r="Q116" s="69">
        <f>B116+C116+D116+E116+F116+G116+H116+I116+J116+K116+L116+M116+N116+O116+P116</f>
        <v>180</v>
      </c>
      <c r="R116" s="6"/>
      <c r="S116" s="6"/>
      <c r="T116" s="6"/>
    </row>
    <row r="117" spans="1:20" s="2" customFormat="1" ht="30.75" customHeight="1" thickTop="1" thickBot="1" x14ac:dyDescent="0.3">
      <c r="A117" s="24" t="s">
        <v>19</v>
      </c>
      <c r="B117" s="23">
        <f>'[1]CMF 1 '!AJ117</f>
        <v>0</v>
      </c>
      <c r="C117" s="23">
        <f>'[1]CMF 2'!AJ117</f>
        <v>0</v>
      </c>
      <c r="D117" s="23">
        <f>'[1]CMF 3'!AJ117</f>
        <v>0</v>
      </c>
      <c r="E117" s="23">
        <f>'[1]CMF 4'!AJ117</f>
        <v>0</v>
      </c>
      <c r="F117" s="23">
        <f>'[1]CMF 5'!AJ117</f>
        <v>1</v>
      </c>
      <c r="G117" s="23">
        <f>'[1]CMF 6'!AJ117</f>
        <v>0</v>
      </c>
      <c r="H117" s="23">
        <f>'[1]CMF 7'!AJ117</f>
        <v>1</v>
      </c>
      <c r="I117" s="23">
        <f>'[1]CMF 8'!AJ117</f>
        <v>0</v>
      </c>
      <c r="J117" s="23">
        <f>'[1]CMF 9'!AJ117</f>
        <v>0</v>
      </c>
      <c r="K117" s="23">
        <f>'[1]CMF 10'!AJ117</f>
        <v>0</v>
      </c>
      <c r="L117" s="23">
        <f>'[1]CMF 11'!AJ117</f>
        <v>0</v>
      </c>
      <c r="M117" s="23"/>
      <c r="N117" s="23"/>
      <c r="O117" s="23"/>
      <c r="P117" s="23"/>
      <c r="Q117" s="22">
        <f>B117+C117+D117+E117+F117+G117+H117+I117+J117+K117+L117+M117+N117+O117+P117</f>
        <v>2</v>
      </c>
      <c r="R117" s="6"/>
      <c r="S117" s="6"/>
      <c r="T117" s="6"/>
    </row>
    <row r="118" spans="1:20" s="2" customFormat="1" ht="30.75" customHeight="1" thickTop="1" thickBot="1" x14ac:dyDescent="0.3">
      <c r="A118" s="24" t="s">
        <v>18</v>
      </c>
      <c r="B118" s="23">
        <f>'[1]CMF 1 '!AJ118</f>
        <v>7</v>
      </c>
      <c r="C118" s="23">
        <f>'[1]CMF 2'!AJ118</f>
        <v>2</v>
      </c>
      <c r="D118" s="23">
        <f>'[1]CMF 3'!AJ118</f>
        <v>0</v>
      </c>
      <c r="E118" s="23">
        <f>'[1]CMF 4'!AJ118</f>
        <v>1</v>
      </c>
      <c r="F118" s="23">
        <f>'[1]CMF 5'!AJ118</f>
        <v>0</v>
      </c>
      <c r="G118" s="23">
        <f>'[1]CMF 6'!AJ118</f>
        <v>0</v>
      </c>
      <c r="H118" s="23">
        <f>'[1]CMF 7'!AJ118</f>
        <v>2</v>
      </c>
      <c r="I118" s="23">
        <f>'[1]CMF 8'!AJ118</f>
        <v>1</v>
      </c>
      <c r="J118" s="23">
        <f>'[1]CMF 9'!AJ118</f>
        <v>0</v>
      </c>
      <c r="K118" s="23">
        <f>'[1]CMF 10'!AJ118</f>
        <v>0</v>
      </c>
      <c r="L118" s="23">
        <f>'[1]CMF 11'!AJ118</f>
        <v>1</v>
      </c>
      <c r="M118" s="23"/>
      <c r="N118" s="23"/>
      <c r="O118" s="23"/>
      <c r="P118" s="23"/>
      <c r="Q118" s="22">
        <f>B118+C118+D118+E118+F118+G118+H118+I118+J118+K118+L118+M118+N118+O118+P118</f>
        <v>14</v>
      </c>
      <c r="R118" s="6"/>
      <c r="S118" s="6"/>
      <c r="T118" s="6"/>
    </row>
    <row r="119" spans="1:20" s="2" customFormat="1" ht="30.75" customHeight="1" thickTop="1" thickBot="1" x14ac:dyDescent="0.3">
      <c r="A119" s="24" t="s">
        <v>17</v>
      </c>
      <c r="B119" s="23">
        <f>'[1]CMF 1 '!AJ119</f>
        <v>1</v>
      </c>
      <c r="C119" s="23">
        <f>'[1]CMF 2'!AJ119</f>
        <v>1</v>
      </c>
      <c r="D119" s="23">
        <f>'[1]CMF 3'!AJ119</f>
        <v>3</v>
      </c>
      <c r="E119" s="23">
        <f>'[1]CMF 4'!AJ119</f>
        <v>6</v>
      </c>
      <c r="F119" s="23">
        <f>'[1]CMF 5'!AJ119</f>
        <v>1</v>
      </c>
      <c r="G119" s="23">
        <f>'[1]CMF 6'!AJ119</f>
        <v>5</v>
      </c>
      <c r="H119" s="23">
        <f>'[1]CMF 7'!AJ119</f>
        <v>3</v>
      </c>
      <c r="I119" s="23">
        <f>'[1]CMF 8'!AJ119</f>
        <v>4</v>
      </c>
      <c r="J119" s="23">
        <f>'[1]CMF 9'!AJ119</f>
        <v>0</v>
      </c>
      <c r="K119" s="23">
        <f>'[1]CMF 10'!AJ119</f>
        <v>1</v>
      </c>
      <c r="L119" s="23">
        <f>'[1]CMF 11'!AJ119</f>
        <v>4</v>
      </c>
      <c r="M119" s="23"/>
      <c r="N119" s="23"/>
      <c r="O119" s="23"/>
      <c r="P119" s="23"/>
      <c r="Q119" s="22">
        <f>B119+C119+D119+E119+F119+G119+H119+I119+J119+K119+L119+M119+N119+O119+P119</f>
        <v>29</v>
      </c>
      <c r="R119" s="6"/>
      <c r="S119" s="6"/>
      <c r="T119" s="6"/>
    </row>
    <row r="120" spans="1:20" s="2" customFormat="1" ht="30.75" customHeight="1" thickTop="1" thickBot="1" x14ac:dyDescent="0.3">
      <c r="A120" s="24" t="s">
        <v>16</v>
      </c>
      <c r="B120" s="23">
        <f>'[1]CMF 1 '!AJ120</f>
        <v>0</v>
      </c>
      <c r="C120" s="23">
        <f>'[1]CMF 2'!AJ120</f>
        <v>2</v>
      </c>
      <c r="D120" s="23">
        <f>'[1]CMF 3'!AJ120</f>
        <v>4</v>
      </c>
      <c r="E120" s="23">
        <f>'[1]CMF 4'!AJ120</f>
        <v>17</v>
      </c>
      <c r="F120" s="23">
        <f>'[1]CMF 5'!AJ120</f>
        <v>2</v>
      </c>
      <c r="G120" s="23">
        <f>'[1]CMF 6'!AJ120</f>
        <v>7</v>
      </c>
      <c r="H120" s="23">
        <f>'[1]CMF 7'!AJ120</f>
        <v>8</v>
      </c>
      <c r="I120" s="23">
        <f>'[1]CMF 8'!AJ120</f>
        <v>17</v>
      </c>
      <c r="J120" s="23">
        <f>'[1]CMF 9'!AJ120</f>
        <v>2</v>
      </c>
      <c r="K120" s="23">
        <f>'[1]CMF 10'!AJ120</f>
        <v>4</v>
      </c>
      <c r="L120" s="23">
        <f>'[1]CMF 11'!AJ120</f>
        <v>5</v>
      </c>
      <c r="M120" s="23"/>
      <c r="N120" s="23"/>
      <c r="O120" s="23"/>
      <c r="P120" s="23"/>
      <c r="Q120" s="22">
        <f>B120+C120+D120+E120+F120+G120+H120+I120+J120+K120+L120+M120+N120+O120+P120</f>
        <v>68</v>
      </c>
      <c r="R120" s="6"/>
      <c r="S120" s="6"/>
      <c r="T120" s="6"/>
    </row>
    <row r="121" spans="1:20" s="2" customFormat="1" ht="30.75" customHeight="1" thickTop="1" thickBot="1" x14ac:dyDescent="0.3">
      <c r="A121" s="24" t="s">
        <v>15</v>
      </c>
      <c r="B121" s="23">
        <f>'[1]CMF 1 '!AJ121</f>
        <v>4</v>
      </c>
      <c r="C121" s="23">
        <f>'[1]CMF 2'!AJ121</f>
        <v>0</v>
      </c>
      <c r="D121" s="23">
        <f>'[1]CMF 3'!AJ121</f>
        <v>8</v>
      </c>
      <c r="E121" s="23">
        <f>'[1]CMF 4'!AJ121</f>
        <v>14</v>
      </c>
      <c r="F121" s="23">
        <f>'[1]CMF 5'!AJ121</f>
        <v>0</v>
      </c>
      <c r="G121" s="23">
        <f>'[1]CMF 6'!AJ121</f>
        <v>7</v>
      </c>
      <c r="H121" s="23">
        <f>'[1]CMF 7'!AJ121</f>
        <v>7</v>
      </c>
      <c r="I121" s="23">
        <f>'[1]CMF 8'!AJ121</f>
        <v>17</v>
      </c>
      <c r="J121" s="23">
        <f>'[1]CMF 9'!AJ121</f>
        <v>0</v>
      </c>
      <c r="K121" s="23">
        <f>'[1]CMF 10'!AJ121</f>
        <v>4</v>
      </c>
      <c r="L121" s="23">
        <f>'[1]CMF 11'!AJ121</f>
        <v>6</v>
      </c>
      <c r="M121" s="23"/>
      <c r="N121" s="23"/>
      <c r="O121" s="23"/>
      <c r="P121" s="23"/>
      <c r="Q121" s="22">
        <f>B121+C121+D121+E121+F121+G121+H121+I121+J121+K121+L121+M121+N121+O121+P121</f>
        <v>67</v>
      </c>
      <c r="R121" s="6"/>
      <c r="S121" s="6"/>
      <c r="T121" s="6"/>
    </row>
    <row r="122" spans="1:20" s="2" customFormat="1" ht="30.75" customHeight="1" thickTop="1" thickBot="1" x14ac:dyDescent="0.3">
      <c r="A122" s="72" t="s">
        <v>68</v>
      </c>
      <c r="B122" s="71">
        <f t="shared" ref="B122:L122" si="19">SUM(B123:B127)</f>
        <v>28</v>
      </c>
      <c r="C122" s="71">
        <f t="shared" si="19"/>
        <v>20</v>
      </c>
      <c r="D122" s="71">
        <f t="shared" si="19"/>
        <v>32</v>
      </c>
      <c r="E122" s="71">
        <f t="shared" si="19"/>
        <v>38</v>
      </c>
      <c r="F122" s="71">
        <f t="shared" si="19"/>
        <v>52</v>
      </c>
      <c r="G122" s="71">
        <f t="shared" si="19"/>
        <v>31</v>
      </c>
      <c r="H122" s="71">
        <f t="shared" si="19"/>
        <v>30</v>
      </c>
      <c r="I122" s="71">
        <f t="shared" si="19"/>
        <v>25</v>
      </c>
      <c r="J122" s="71">
        <f t="shared" si="19"/>
        <v>12</v>
      </c>
      <c r="K122" s="71">
        <f t="shared" si="19"/>
        <v>19</v>
      </c>
      <c r="L122" s="71">
        <f t="shared" si="19"/>
        <v>26</v>
      </c>
      <c r="M122" s="71"/>
      <c r="N122" s="71"/>
      <c r="O122" s="71"/>
      <c r="P122" s="71"/>
      <c r="Q122" s="71">
        <f>B122+C122+D122+E122+F122+G122+H122+I122+J122+K122+L122+M122+N122+O122+P122</f>
        <v>313</v>
      </c>
      <c r="R122" s="6"/>
      <c r="S122" s="6"/>
      <c r="T122" s="6"/>
    </row>
    <row r="123" spans="1:20" s="2" customFormat="1" ht="30.75" customHeight="1" thickTop="1" thickBot="1" x14ac:dyDescent="0.3">
      <c r="A123" s="24" t="s">
        <v>19</v>
      </c>
      <c r="B123" s="23">
        <f>'[1]CMF 1 '!AJ123</f>
        <v>12</v>
      </c>
      <c r="C123" s="23">
        <f>'[1]CMF 2'!AJ123</f>
        <v>14</v>
      </c>
      <c r="D123" s="23">
        <f>'[1]CMF 3'!AJ123</f>
        <v>6</v>
      </c>
      <c r="E123" s="23">
        <f>'[1]CMF 4'!AJ123</f>
        <v>4</v>
      </c>
      <c r="F123" s="23">
        <f>'[1]CMF 5'!AJ123</f>
        <v>21</v>
      </c>
      <c r="G123" s="23">
        <f>'[1]CMF 6'!AJ123</f>
        <v>5</v>
      </c>
      <c r="H123" s="23">
        <f>'[1]CMF 7'!AJ123</f>
        <v>7</v>
      </c>
      <c r="I123" s="23">
        <f>'[1]CMF 8'!AJ123</f>
        <v>11</v>
      </c>
      <c r="J123" s="23">
        <f>'[1]CMF 9'!AJ123</f>
        <v>4</v>
      </c>
      <c r="K123" s="23">
        <f>'[1]CMF 10'!AJ123</f>
        <v>3</v>
      </c>
      <c r="L123" s="23">
        <f>'[1]CMF 11'!AJ123</f>
        <v>7</v>
      </c>
      <c r="M123" s="23"/>
      <c r="N123" s="23"/>
      <c r="O123" s="23"/>
      <c r="P123" s="23"/>
      <c r="Q123" s="22">
        <f>B123+C123+D123+E123+F123+G123+H123+I123+J123+K123+L123+M123+N123+O123+P123</f>
        <v>94</v>
      </c>
      <c r="R123" s="6"/>
      <c r="S123" s="6"/>
      <c r="T123" s="6"/>
    </row>
    <row r="124" spans="1:20" s="2" customFormat="1" ht="30.75" customHeight="1" thickTop="1" thickBot="1" x14ac:dyDescent="0.3">
      <c r="A124" s="24" t="s">
        <v>18</v>
      </c>
      <c r="B124" s="23">
        <f>'[1]CMF 1 '!AJ124</f>
        <v>6</v>
      </c>
      <c r="C124" s="23">
        <f>'[1]CMF 2'!AJ124</f>
        <v>3</v>
      </c>
      <c r="D124" s="23">
        <f>'[1]CMF 3'!AJ124</f>
        <v>1</v>
      </c>
      <c r="E124" s="23">
        <f>'[1]CMF 4'!AJ124</f>
        <v>17</v>
      </c>
      <c r="F124" s="23">
        <f>'[1]CMF 5'!AJ124</f>
        <v>5</v>
      </c>
      <c r="G124" s="23">
        <f>'[1]CMF 6'!AJ124</f>
        <v>2</v>
      </c>
      <c r="H124" s="23">
        <f>'[1]CMF 7'!AJ124</f>
        <v>4</v>
      </c>
      <c r="I124" s="23">
        <f>'[1]CMF 8'!AJ124</f>
        <v>5</v>
      </c>
      <c r="J124" s="23">
        <f>'[1]CMF 9'!AJ124</f>
        <v>2</v>
      </c>
      <c r="K124" s="23">
        <f>'[1]CMF 10'!AJ124</f>
        <v>2</v>
      </c>
      <c r="L124" s="23">
        <f>'[1]CMF 11'!AJ124</f>
        <v>2</v>
      </c>
      <c r="M124" s="23"/>
      <c r="N124" s="23"/>
      <c r="O124" s="23"/>
      <c r="P124" s="23"/>
      <c r="Q124" s="22">
        <f>B124+C124+D124+E124+F124+G124+H124+I124+J124+K124+L124+M124+N124+O124+P124</f>
        <v>49</v>
      </c>
      <c r="R124" s="6"/>
      <c r="S124" s="6"/>
      <c r="T124" s="6"/>
    </row>
    <row r="125" spans="1:20" s="2" customFormat="1" ht="30.75" customHeight="1" thickTop="1" thickBot="1" x14ac:dyDescent="0.3">
      <c r="A125" s="24" t="s">
        <v>17</v>
      </c>
      <c r="B125" s="23">
        <f>'[1]CMF 1 '!AJ125</f>
        <v>2</v>
      </c>
      <c r="C125" s="23">
        <f>'[1]CMF 2'!AJ125</f>
        <v>0</v>
      </c>
      <c r="D125" s="23">
        <f>'[1]CMF 3'!AJ125</f>
        <v>6</v>
      </c>
      <c r="E125" s="23">
        <f>'[1]CMF 4'!AJ125</f>
        <v>7</v>
      </c>
      <c r="F125" s="23">
        <f>'[1]CMF 5'!AJ125</f>
        <v>12</v>
      </c>
      <c r="G125" s="23">
        <f>'[1]CMF 6'!AJ125</f>
        <v>8</v>
      </c>
      <c r="H125" s="23">
        <f>'[1]CMF 7'!AJ125</f>
        <v>7</v>
      </c>
      <c r="I125" s="23">
        <f>'[1]CMF 8'!AJ125</f>
        <v>6</v>
      </c>
      <c r="J125" s="23">
        <f>'[1]CMF 9'!AJ125</f>
        <v>1</v>
      </c>
      <c r="K125" s="23">
        <f>'[1]CMF 10'!AJ125</f>
        <v>2</v>
      </c>
      <c r="L125" s="23">
        <f>'[1]CMF 11'!AJ125</f>
        <v>5</v>
      </c>
      <c r="M125" s="23"/>
      <c r="N125" s="23"/>
      <c r="O125" s="23"/>
      <c r="P125" s="23"/>
      <c r="Q125" s="22">
        <f>B125+C125+D125+E125+F125+G125+H125+I125+J125+K125+L125+M125+N125+O125+P125</f>
        <v>56</v>
      </c>
      <c r="R125" s="6"/>
      <c r="S125" s="6"/>
      <c r="T125" s="6"/>
    </row>
    <row r="126" spans="1:20" s="2" customFormat="1" ht="30.75" customHeight="1" thickTop="1" thickBot="1" x14ac:dyDescent="0.3">
      <c r="A126" s="24" t="s">
        <v>16</v>
      </c>
      <c r="B126" s="23">
        <f>'[1]CMF 1 '!AJ126</f>
        <v>1</v>
      </c>
      <c r="C126" s="23">
        <f>'[1]CMF 2'!AJ126</f>
        <v>2</v>
      </c>
      <c r="D126" s="23">
        <f>'[1]CMF 3'!AJ126</f>
        <v>5</v>
      </c>
      <c r="E126" s="23">
        <f>'[1]CMF 4'!AJ126</f>
        <v>5</v>
      </c>
      <c r="F126" s="23">
        <f>'[1]CMF 5'!AJ126</f>
        <v>6</v>
      </c>
      <c r="G126" s="23">
        <f>'[1]CMF 6'!AJ126</f>
        <v>12</v>
      </c>
      <c r="H126" s="23">
        <f>'[1]CMF 7'!AJ126</f>
        <v>9</v>
      </c>
      <c r="I126" s="23">
        <f>'[1]CMF 8'!AJ126</f>
        <v>1</v>
      </c>
      <c r="J126" s="23">
        <f>'[1]CMF 9'!AJ126</f>
        <v>0</v>
      </c>
      <c r="K126" s="23">
        <f>'[1]CMF 10'!AJ126</f>
        <v>3</v>
      </c>
      <c r="L126" s="23">
        <f>'[1]CMF 11'!AJ126</f>
        <v>6</v>
      </c>
      <c r="M126" s="23"/>
      <c r="N126" s="23"/>
      <c r="O126" s="23"/>
      <c r="P126" s="23"/>
      <c r="Q126" s="22">
        <f>B126+C126+D126+E126+F126+G126+H126+I126+J126+K126+L126+M126+N126+O126+P126</f>
        <v>50</v>
      </c>
      <c r="R126" s="6"/>
      <c r="S126" s="6"/>
      <c r="T126" s="6"/>
    </row>
    <row r="127" spans="1:20" s="2" customFormat="1" ht="30.75" customHeight="1" thickTop="1" thickBot="1" x14ac:dyDescent="0.3">
      <c r="A127" s="24" t="s">
        <v>15</v>
      </c>
      <c r="B127" s="23">
        <f>'[1]CMF 1 '!AJ127</f>
        <v>7</v>
      </c>
      <c r="C127" s="23">
        <f>'[1]CMF 2'!AJ127</f>
        <v>1</v>
      </c>
      <c r="D127" s="23">
        <f>'[1]CMF 3'!AJ127</f>
        <v>14</v>
      </c>
      <c r="E127" s="23">
        <f>'[1]CMF 4'!AJ127</f>
        <v>5</v>
      </c>
      <c r="F127" s="23">
        <f>'[1]CMF 5'!AJ127</f>
        <v>8</v>
      </c>
      <c r="G127" s="23">
        <f>'[1]CMF 6'!AJ127</f>
        <v>4</v>
      </c>
      <c r="H127" s="23">
        <f>'[1]CMF 7'!AJ127</f>
        <v>3</v>
      </c>
      <c r="I127" s="23">
        <f>'[1]CMF 8'!AJ127</f>
        <v>2</v>
      </c>
      <c r="J127" s="23">
        <f>'[1]CMF 9'!AJ127</f>
        <v>5</v>
      </c>
      <c r="K127" s="23">
        <f>'[1]CMF 10'!AJ127</f>
        <v>9</v>
      </c>
      <c r="L127" s="23">
        <f>'[1]CMF 11'!AJ127</f>
        <v>6</v>
      </c>
      <c r="M127" s="23"/>
      <c r="N127" s="23"/>
      <c r="O127" s="23"/>
      <c r="P127" s="23"/>
      <c r="Q127" s="22">
        <f>B127+C127+D127+E127+F127+G127+H127+I127+J127+K127+L127+M127+N127+O127+P127</f>
        <v>64</v>
      </c>
      <c r="R127" s="6"/>
      <c r="S127" s="6"/>
      <c r="T127" s="6"/>
    </row>
    <row r="128" spans="1:20" s="2" customFormat="1" ht="30.75" customHeight="1" thickTop="1" thickBot="1" x14ac:dyDescent="0.3">
      <c r="A128" s="70" t="s">
        <v>20</v>
      </c>
      <c r="B128" s="69">
        <f t="shared" ref="B128:L128" si="20">SUM(B129:B133)</f>
        <v>30</v>
      </c>
      <c r="C128" s="69">
        <f t="shared" si="20"/>
        <v>37</v>
      </c>
      <c r="D128" s="69">
        <f t="shared" si="20"/>
        <v>87</v>
      </c>
      <c r="E128" s="69">
        <f t="shared" si="20"/>
        <v>71</v>
      </c>
      <c r="F128" s="69">
        <f t="shared" si="20"/>
        <v>51</v>
      </c>
      <c r="G128" s="69">
        <f t="shared" si="20"/>
        <v>56</v>
      </c>
      <c r="H128" s="69">
        <f t="shared" si="20"/>
        <v>52</v>
      </c>
      <c r="I128" s="69">
        <f t="shared" si="20"/>
        <v>88</v>
      </c>
      <c r="J128" s="69">
        <f t="shared" si="20"/>
        <v>15</v>
      </c>
      <c r="K128" s="69">
        <f t="shared" si="20"/>
        <v>47</v>
      </c>
      <c r="L128" s="69">
        <f t="shared" si="20"/>
        <v>43</v>
      </c>
      <c r="M128" s="69"/>
      <c r="N128" s="69"/>
      <c r="O128" s="69"/>
      <c r="P128" s="69"/>
      <c r="Q128" s="69">
        <f>B128+C128+D128+E128+F128+G128+H128+I128+J128+K128+L128+M128+N128+O128+P128</f>
        <v>577</v>
      </c>
      <c r="R128" s="6"/>
      <c r="S128" s="6"/>
      <c r="T128" s="6"/>
    </row>
    <row r="129" spans="1:20" s="2" customFormat="1" ht="30.75" customHeight="1" thickTop="1" thickBot="1" x14ac:dyDescent="0.3">
      <c r="A129" s="24" t="s">
        <v>19</v>
      </c>
      <c r="B129" s="23">
        <f>'[1]CMF 1 '!AJ129</f>
        <v>12</v>
      </c>
      <c r="C129" s="23">
        <f>'[1]CMF 2'!AJ129</f>
        <v>14</v>
      </c>
      <c r="D129" s="23">
        <f>'[1]CMF 3'!AJ129</f>
        <v>13</v>
      </c>
      <c r="E129" s="23">
        <f>'[1]CMF 4'!AJ129</f>
        <v>7</v>
      </c>
      <c r="F129" s="23">
        <f>'[1]CMF 5'!AJ129</f>
        <v>6</v>
      </c>
      <c r="G129" s="23">
        <f>'[1]CMF 6'!AJ129</f>
        <v>4</v>
      </c>
      <c r="H129" s="23">
        <f>'[1]CMF 7'!AJ129</f>
        <v>5</v>
      </c>
      <c r="I129" s="23">
        <f>'[1]CMF 8'!AJ129</f>
        <v>25</v>
      </c>
      <c r="J129" s="23">
        <f>'[1]CMF 9'!AJ129</f>
        <v>0</v>
      </c>
      <c r="K129" s="23">
        <f>'[1]CMF 10'!AJ129</f>
        <v>6</v>
      </c>
      <c r="L129" s="23">
        <f>'[1]CMF 11'!AJ129</f>
        <v>6</v>
      </c>
      <c r="M129" s="23"/>
      <c r="N129" s="23"/>
      <c r="O129" s="23"/>
      <c r="P129" s="23"/>
      <c r="Q129" s="22">
        <f>B129+C129+D129+E129+F129+G129+H129+I129+J129+K129+L129+M129+N129+O129+P129</f>
        <v>98</v>
      </c>
      <c r="R129" s="6"/>
      <c r="S129" s="6"/>
      <c r="T129" s="6"/>
    </row>
    <row r="130" spans="1:20" s="2" customFormat="1" ht="30.75" customHeight="1" thickTop="1" thickBot="1" x14ac:dyDescent="0.3">
      <c r="A130" s="24" t="s">
        <v>18</v>
      </c>
      <c r="B130" s="23">
        <f>'[1]CMF 1 '!AJ130</f>
        <v>8</v>
      </c>
      <c r="C130" s="23">
        <f>'[1]CMF 2'!AJ130</f>
        <v>3</v>
      </c>
      <c r="D130" s="23">
        <f>'[1]CMF 3'!AJ130</f>
        <v>9</v>
      </c>
      <c r="E130" s="23">
        <f>'[1]CMF 4'!AJ130</f>
        <v>22</v>
      </c>
      <c r="F130" s="23">
        <f>'[1]CMF 5'!AJ130</f>
        <v>1</v>
      </c>
      <c r="G130" s="23">
        <f>'[1]CMF 6'!AJ130</f>
        <v>6</v>
      </c>
      <c r="H130" s="23">
        <f>'[1]CMF 7'!AJ130</f>
        <v>11</v>
      </c>
      <c r="I130" s="23">
        <f>'[1]CMF 8'!AJ130</f>
        <v>13</v>
      </c>
      <c r="J130" s="23">
        <f>'[1]CMF 9'!AJ130</f>
        <v>1</v>
      </c>
      <c r="K130" s="23">
        <f>'[1]CMF 10'!AJ130</f>
        <v>5</v>
      </c>
      <c r="L130" s="23">
        <f>'[1]CMF 11'!AJ130</f>
        <v>7</v>
      </c>
      <c r="M130" s="23"/>
      <c r="N130" s="23"/>
      <c r="O130" s="23"/>
      <c r="P130" s="23"/>
      <c r="Q130" s="22">
        <f>B130+C130+D130+E130+F130+G130+H130+I130+J130+K130+L130+M130+N130+O130+P130</f>
        <v>86</v>
      </c>
      <c r="R130" s="6"/>
      <c r="S130" s="6"/>
      <c r="T130" s="6"/>
    </row>
    <row r="131" spans="1:20" s="2" customFormat="1" ht="30.75" customHeight="1" thickTop="1" thickBot="1" x14ac:dyDescent="0.3">
      <c r="A131" s="24" t="s">
        <v>17</v>
      </c>
      <c r="B131" s="23">
        <f>'[1]CMF 1 '!AJ131</f>
        <v>5</v>
      </c>
      <c r="C131" s="23">
        <f>'[1]CMF 2'!AJ131</f>
        <v>4</v>
      </c>
      <c r="D131" s="23">
        <f>'[1]CMF 3'!AJ131</f>
        <v>20</v>
      </c>
      <c r="E131" s="23">
        <f>'[1]CMF 4'!AJ131</f>
        <v>18</v>
      </c>
      <c r="F131" s="23">
        <f>'[1]CMF 5'!AJ131</f>
        <v>9</v>
      </c>
      <c r="G131" s="23">
        <f>'[1]CMF 6'!AJ131</f>
        <v>14</v>
      </c>
      <c r="H131" s="23">
        <f>'[1]CMF 7'!AJ131</f>
        <v>10</v>
      </c>
      <c r="I131" s="23">
        <f>'[1]CMF 8'!AJ131</f>
        <v>14</v>
      </c>
      <c r="J131" s="23">
        <f>'[1]CMF 9'!AJ131</f>
        <v>1</v>
      </c>
      <c r="K131" s="23">
        <f>'[1]CMF 10'!AJ131</f>
        <v>11</v>
      </c>
      <c r="L131" s="23">
        <f>'[1]CMF 11'!AJ131</f>
        <v>6</v>
      </c>
      <c r="M131" s="23"/>
      <c r="N131" s="23"/>
      <c r="O131" s="23"/>
      <c r="P131" s="23"/>
      <c r="Q131" s="22">
        <f>B131+C131+D131+E131+F131+G131+H131+I131+J131+K131+L131+M131+N131+O131+P131</f>
        <v>112</v>
      </c>
      <c r="R131" s="6"/>
      <c r="S131" s="6"/>
      <c r="T131" s="6"/>
    </row>
    <row r="132" spans="1:20" s="2" customFormat="1" ht="30.75" customHeight="1" thickTop="1" thickBot="1" x14ac:dyDescent="0.3">
      <c r="A132" s="24" t="s">
        <v>16</v>
      </c>
      <c r="B132" s="23">
        <f>'[1]CMF 1 '!AJ132</f>
        <v>4</v>
      </c>
      <c r="C132" s="23">
        <f>'[1]CMF 2'!AJ132</f>
        <v>13</v>
      </c>
      <c r="D132" s="23">
        <f>'[1]CMF 3'!AJ132</f>
        <v>28</v>
      </c>
      <c r="E132" s="23">
        <f>'[1]CMF 4'!AJ132</f>
        <v>13</v>
      </c>
      <c r="F132" s="23">
        <f>'[1]CMF 5'!AJ132</f>
        <v>11</v>
      </c>
      <c r="G132" s="23">
        <f>'[1]CMF 6'!AJ132</f>
        <v>20</v>
      </c>
      <c r="H132" s="23">
        <f>'[1]CMF 7'!AJ132</f>
        <v>21</v>
      </c>
      <c r="I132" s="23">
        <f>'[1]CMF 8'!AJ132</f>
        <v>18</v>
      </c>
      <c r="J132" s="23">
        <f>'[1]CMF 9'!AJ132</f>
        <v>1</v>
      </c>
      <c r="K132" s="23">
        <f>'[1]CMF 10'!AJ132</f>
        <v>15</v>
      </c>
      <c r="L132" s="23">
        <f>'[1]CMF 11'!AJ132</f>
        <v>12</v>
      </c>
      <c r="M132" s="23"/>
      <c r="N132" s="23"/>
      <c r="O132" s="23"/>
      <c r="P132" s="23"/>
      <c r="Q132" s="22">
        <f>B132+C132+D132+E132+F132+G132+H132+I132+J132+K132+L132+M132+N132+O132+P132</f>
        <v>156</v>
      </c>
      <c r="R132" s="6"/>
      <c r="S132" s="6"/>
      <c r="T132" s="6"/>
    </row>
    <row r="133" spans="1:20" s="2" customFormat="1" ht="30.75" customHeight="1" thickTop="1" thickBot="1" x14ac:dyDescent="0.3">
      <c r="A133" s="24" t="s">
        <v>15</v>
      </c>
      <c r="B133" s="23">
        <f>'[1]CMF 1 '!AJ133</f>
        <v>1</v>
      </c>
      <c r="C133" s="23">
        <f>'[1]CMF 2'!AJ133</f>
        <v>3</v>
      </c>
      <c r="D133" s="23">
        <f>'[1]CMF 3'!AJ133</f>
        <v>17</v>
      </c>
      <c r="E133" s="23">
        <f>'[1]CMF 4'!AJ133</f>
        <v>11</v>
      </c>
      <c r="F133" s="23">
        <f>'[1]CMF 5'!AJ133</f>
        <v>24</v>
      </c>
      <c r="G133" s="23">
        <f>'[1]CMF 6'!AJ133</f>
        <v>12</v>
      </c>
      <c r="H133" s="23">
        <f>'[1]CMF 7'!AJ133</f>
        <v>5</v>
      </c>
      <c r="I133" s="23">
        <f>'[1]CMF 8'!AJ133</f>
        <v>18</v>
      </c>
      <c r="J133" s="23">
        <f>'[1]CMF 9'!AJ133</f>
        <v>12</v>
      </c>
      <c r="K133" s="23">
        <f>'[1]CMF 10'!AJ133</f>
        <v>10</v>
      </c>
      <c r="L133" s="23">
        <f>'[1]CMF 11'!AJ133</f>
        <v>12</v>
      </c>
      <c r="M133" s="23"/>
      <c r="N133" s="23"/>
      <c r="O133" s="23"/>
      <c r="P133" s="23"/>
      <c r="Q133" s="22">
        <f>B133+C133+D133+E133+F133+G133+H133+I133+J133+K133+L133+M133+N133+O133+P133</f>
        <v>125</v>
      </c>
      <c r="R133" s="6"/>
      <c r="S133" s="6"/>
      <c r="T133" s="6"/>
    </row>
    <row r="134" spans="1:20" s="2" customFormat="1" ht="30.75" customHeight="1" thickTop="1" thickBot="1" x14ac:dyDescent="0.3">
      <c r="A134" s="68" t="s">
        <v>67</v>
      </c>
      <c r="B134" s="22">
        <f>'[1]CMF 1 '!AJ134</f>
        <v>2</v>
      </c>
      <c r="C134" s="22">
        <f>'[1]CMF 2'!AJ134</f>
        <v>0</v>
      </c>
      <c r="D134" s="22">
        <f>'[1]CMF 3'!AJ134</f>
        <v>1</v>
      </c>
      <c r="E134" s="22">
        <f>'[1]CMF 4'!AJ134</f>
        <v>2</v>
      </c>
      <c r="F134" s="22">
        <f>'[1]CMF 5'!AJ134</f>
        <v>2</v>
      </c>
      <c r="G134" s="22">
        <f>'[1]CMF 6'!AJ134</f>
        <v>0</v>
      </c>
      <c r="H134" s="22">
        <f>'[1]CMF 7'!AJ134</f>
        <v>0</v>
      </c>
      <c r="I134" s="22">
        <f>'[1]CMF 8'!AJ134</f>
        <v>2</v>
      </c>
      <c r="J134" s="22">
        <f>'[1]CMF 9'!AJ134</f>
        <v>0</v>
      </c>
      <c r="K134" s="22">
        <f>'[1]CMF 10'!AJ134</f>
        <v>0</v>
      </c>
      <c r="L134" s="22">
        <f>'[1]CMF 11'!AJ134</f>
        <v>0</v>
      </c>
      <c r="M134" s="22"/>
      <c r="N134" s="22"/>
      <c r="O134" s="22"/>
      <c r="P134" s="22"/>
      <c r="Q134" s="22">
        <f>B134+C134+D134+E134+F134+G134+H134+I134+J134+K134+L134+M134+N134+O134+P134</f>
        <v>9</v>
      </c>
      <c r="R134" s="6"/>
      <c r="S134" s="6"/>
      <c r="T134" s="6"/>
    </row>
    <row r="135" spans="1:20" s="2" customFormat="1" ht="30.75" customHeight="1" thickTop="1" thickBot="1" x14ac:dyDescent="0.3">
      <c r="A135" s="24" t="s">
        <v>66</v>
      </c>
      <c r="B135" s="23">
        <f>'[1]CMF 1 '!AJ135</f>
        <v>0</v>
      </c>
      <c r="C135" s="23">
        <f>'[1]CMF 2'!AJ135</f>
        <v>0</v>
      </c>
      <c r="D135" s="23">
        <f>'[1]CMF 3'!AJ135</f>
        <v>0</v>
      </c>
      <c r="E135" s="23">
        <f>'[1]CMF 4'!AJ135</f>
        <v>0</v>
      </c>
      <c r="F135" s="23">
        <f>'[1]CMF 5'!AJ135</f>
        <v>0</v>
      </c>
      <c r="G135" s="23">
        <f>'[1]CMF 6'!AJ135</f>
        <v>0</v>
      </c>
      <c r="H135" s="23">
        <f>'[1]CMF 7'!AJ135</f>
        <v>0</v>
      </c>
      <c r="I135" s="23">
        <f>'[1]CMF 8'!AJ135</f>
        <v>0</v>
      </c>
      <c r="J135" s="23">
        <f>'[1]CMF 9'!AJ135</f>
        <v>0</v>
      </c>
      <c r="K135" s="23">
        <f>'[1]CMF 10'!AJ135</f>
        <v>0</v>
      </c>
      <c r="L135" s="23">
        <f>'[1]CMF 11'!AJ135</f>
        <v>0</v>
      </c>
      <c r="M135" s="23"/>
      <c r="N135" s="23"/>
      <c r="O135" s="23"/>
      <c r="P135" s="23"/>
      <c r="Q135" s="22">
        <f>B135+C135+D135+E135+F135+G135+H135+I135+J135+K135+L135+M135+N135+O135+P135</f>
        <v>0</v>
      </c>
      <c r="R135" s="6"/>
      <c r="S135" s="6"/>
      <c r="T135" s="6"/>
    </row>
    <row r="136" spans="1:20" s="2" customFormat="1" ht="30.75" customHeight="1" thickTop="1" thickBot="1" x14ac:dyDescent="0.3">
      <c r="A136" s="68"/>
      <c r="B136" s="22">
        <f>'[1]CMF 1 '!AJ136</f>
        <v>0</v>
      </c>
      <c r="C136" s="22">
        <f>'[1]CMF 2'!AJ136</f>
        <v>0</v>
      </c>
      <c r="D136" s="22">
        <f>'[1]CMF 3'!AJ136</f>
        <v>0</v>
      </c>
      <c r="E136" s="22">
        <f>'[1]CMF 4'!AJ136</f>
        <v>0</v>
      </c>
      <c r="F136" s="22">
        <f>'[1]CMF 5'!AJ136</f>
        <v>0</v>
      </c>
      <c r="G136" s="22">
        <f>'[1]CMF 6'!AJ136</f>
        <v>0</v>
      </c>
      <c r="H136" s="22">
        <f>'[1]CMF 7'!AJ136</f>
        <v>0</v>
      </c>
      <c r="I136" s="22">
        <f>'[1]CMF 8'!AJ136</f>
        <v>0</v>
      </c>
      <c r="J136" s="22">
        <f>'[1]CMF 9'!AJ136</f>
        <v>0</v>
      </c>
      <c r="K136" s="22">
        <f>'[1]CMF 10'!AJ136</f>
        <v>0</v>
      </c>
      <c r="L136" s="22">
        <f>'[1]CMF 11'!AJ136</f>
        <v>0</v>
      </c>
      <c r="M136" s="22"/>
      <c r="N136" s="22"/>
      <c r="O136" s="22"/>
      <c r="P136" s="22"/>
      <c r="Q136" s="22">
        <f>B136+C136+D136+E136+F136+G136+H136+I136+J136+K136+L136+M136+N136+O136+P136</f>
        <v>0</v>
      </c>
      <c r="R136" s="6"/>
      <c r="S136" s="6"/>
      <c r="T136" s="6"/>
    </row>
    <row r="137" spans="1:20" s="2" customFormat="1" ht="30.75" customHeight="1" thickTop="1" thickBot="1" x14ac:dyDescent="0.3">
      <c r="A137" s="67" t="s">
        <v>65</v>
      </c>
      <c r="B137" s="66">
        <f>'[1]CMF 1 '!AJ137</f>
        <v>2</v>
      </c>
      <c r="C137" s="66">
        <f>'[1]CMF 2'!AJ137</f>
        <v>0</v>
      </c>
      <c r="D137" s="66">
        <f>'[1]CMF 3'!AJ137</f>
        <v>1</v>
      </c>
      <c r="E137" s="66">
        <f>'[1]CMF 4'!AJ137</f>
        <v>2</v>
      </c>
      <c r="F137" s="66">
        <f>'[1]CMF 5'!AJ137</f>
        <v>2</v>
      </c>
      <c r="G137" s="66">
        <f>'[1]CMF 6'!AJ137</f>
        <v>0</v>
      </c>
      <c r="H137" s="66">
        <f>'[1]CMF 7'!AJ137</f>
        <v>0</v>
      </c>
      <c r="I137" s="66">
        <f>'[1]CMF 8'!AJ137</f>
        <v>2</v>
      </c>
      <c r="J137" s="66">
        <f>'[1]CMF 9'!AJ137</f>
        <v>0</v>
      </c>
      <c r="K137" s="66">
        <f>'[1]CMF 10'!AJ137</f>
        <v>0</v>
      </c>
      <c r="L137" s="66">
        <f>'[1]CMF 11'!AJ137</f>
        <v>0</v>
      </c>
      <c r="M137" s="66"/>
      <c r="N137" s="66"/>
      <c r="O137" s="66"/>
      <c r="P137" s="66"/>
      <c r="Q137" s="66">
        <f>B137+C137+D137+E137+F137+G137+H137+I137+J137+K137+L137+M137+N137+O137+P137</f>
        <v>9</v>
      </c>
      <c r="R137" s="6"/>
      <c r="S137" s="6"/>
      <c r="T137" s="6"/>
    </row>
    <row r="138" spans="1:20" s="2" customFormat="1" ht="30.75" customHeight="1" thickTop="1" thickBot="1" x14ac:dyDescent="0.3">
      <c r="A138" s="67" t="s">
        <v>64</v>
      </c>
      <c r="B138" s="66">
        <f>'[1]CMF 1 '!AJ138</f>
        <v>0</v>
      </c>
      <c r="C138" s="66">
        <f>'[1]CMF 2'!AJ138</f>
        <v>0</v>
      </c>
      <c r="D138" s="66">
        <f>'[1]CMF 3'!AJ138</f>
        <v>0</v>
      </c>
      <c r="E138" s="66">
        <f>'[1]CMF 4'!AJ138</f>
        <v>0</v>
      </c>
      <c r="F138" s="66">
        <f>'[1]CMF 5'!AJ138</f>
        <v>0</v>
      </c>
      <c r="G138" s="66">
        <f>'[1]CMF 6'!AJ138</f>
        <v>0</v>
      </c>
      <c r="H138" s="66">
        <f>'[1]CMF 7'!AJ138</f>
        <v>1</v>
      </c>
      <c r="I138" s="66">
        <f>'[1]CMF 8'!AJ138</f>
        <v>0</v>
      </c>
      <c r="J138" s="66">
        <f>'[1]CMF 9'!AJ138</f>
        <v>0</v>
      </c>
      <c r="K138" s="66">
        <f>'[1]CMF 10'!AJ138</f>
        <v>0</v>
      </c>
      <c r="L138" s="66">
        <f>'[1]CMF 11'!AJ138</f>
        <v>0</v>
      </c>
      <c r="M138" s="66"/>
      <c r="N138" s="66"/>
      <c r="O138" s="66"/>
      <c r="P138" s="66"/>
      <c r="Q138" s="66">
        <f>B138+C138+D138+E138+F138+G138+H138+I138+J138+K138+L138+M138+N138+O138+P138</f>
        <v>1</v>
      </c>
      <c r="R138" s="6"/>
      <c r="S138" s="6"/>
      <c r="T138" s="6"/>
    </row>
    <row r="139" spans="1:20" s="2" customFormat="1" ht="30.75" customHeight="1" thickTop="1" thickBot="1" x14ac:dyDescent="0.3">
      <c r="A139" s="65" t="s">
        <v>63</v>
      </c>
      <c r="B139" s="63">
        <f>'[1]CMF 1 '!AJ139</f>
        <v>0</v>
      </c>
      <c r="C139" s="63">
        <f>'[1]CMF 2'!AJ139</f>
        <v>0</v>
      </c>
      <c r="D139" s="63">
        <f>'[1]CMF 3'!AJ139</f>
        <v>0</v>
      </c>
      <c r="E139" s="63">
        <f>'[1]CMF 4'!AJ139</f>
        <v>0</v>
      </c>
      <c r="F139" s="63">
        <f>'[1]CMF 5'!AJ139</f>
        <v>0</v>
      </c>
      <c r="G139" s="63">
        <f>'[1]CMF 6'!AJ139</f>
        <v>0</v>
      </c>
      <c r="H139" s="63">
        <f>'[1]CMF 7'!AJ139</f>
        <v>0</v>
      </c>
      <c r="I139" s="63">
        <f>'[1]CMF 8'!AJ139</f>
        <v>0</v>
      </c>
      <c r="J139" s="63">
        <f>'[1]CMF 9'!AJ139</f>
        <v>0</v>
      </c>
      <c r="K139" s="63">
        <f>'[1]CMF 10'!AJ139</f>
        <v>0</v>
      </c>
      <c r="L139" s="63">
        <f>'[1]CMF 11'!AJ139</f>
        <v>0</v>
      </c>
      <c r="M139" s="63"/>
      <c r="N139" s="63"/>
      <c r="O139" s="63"/>
      <c r="P139" s="63"/>
      <c r="Q139" s="63">
        <f>B139+C139+D139+E139+F139+G139+H139+I139+J139+K139+L139+M139+N139+O139+P139</f>
        <v>0</v>
      </c>
      <c r="R139" s="6"/>
      <c r="S139" s="6"/>
      <c r="T139" s="6"/>
    </row>
    <row r="140" spans="1:20" s="2" customFormat="1" ht="30.75" customHeight="1" thickTop="1" thickBot="1" x14ac:dyDescent="0.3">
      <c r="A140" s="67" t="s">
        <v>62</v>
      </c>
      <c r="B140" s="66">
        <f>'[1]CMF 1 '!AJ140</f>
        <v>0</v>
      </c>
      <c r="C140" s="66">
        <f>'[1]CMF 2'!AJ140</f>
        <v>0</v>
      </c>
      <c r="D140" s="66">
        <f>'[1]CMF 3'!AJ140</f>
        <v>0</v>
      </c>
      <c r="E140" s="66">
        <f>'[1]CMF 4'!AJ140</f>
        <v>0</v>
      </c>
      <c r="F140" s="66">
        <f>'[1]CMF 5'!AJ140</f>
        <v>0</v>
      </c>
      <c r="G140" s="66">
        <f>'[1]CMF 6'!AJ140</f>
        <v>0</v>
      </c>
      <c r="H140" s="66">
        <f>'[1]CMF 7'!AJ140</f>
        <v>0</v>
      </c>
      <c r="I140" s="66">
        <f>'[1]CMF 8'!AJ140</f>
        <v>2</v>
      </c>
      <c r="J140" s="66">
        <f>'[1]CMF 9'!AJ140</f>
        <v>0</v>
      </c>
      <c r="K140" s="66">
        <f>'[1]CMF 10'!AJ140</f>
        <v>0</v>
      </c>
      <c r="L140" s="66">
        <f>'[1]CMF 11'!AJ140</f>
        <v>0</v>
      </c>
      <c r="M140" s="66"/>
      <c r="N140" s="66"/>
      <c r="O140" s="66"/>
      <c r="P140" s="66"/>
      <c r="Q140" s="66">
        <f>B140+C140+D140+E140+F140+G140+H140+I140+J140+K140+L140+M140+N140+O140+P140</f>
        <v>2</v>
      </c>
      <c r="R140" s="6"/>
      <c r="S140" s="6"/>
      <c r="T140" s="6"/>
    </row>
    <row r="141" spans="1:20" s="2" customFormat="1" ht="30.75" customHeight="1" thickTop="1" thickBot="1" x14ac:dyDescent="0.3">
      <c r="A141" s="65" t="s">
        <v>61</v>
      </c>
      <c r="B141" s="64">
        <f>'[1]CMF 1 '!AJ141</f>
        <v>0</v>
      </c>
      <c r="C141" s="64">
        <f>'[1]CMF 2'!AJ141</f>
        <v>0</v>
      </c>
      <c r="D141" s="64">
        <f>'[1]CMF 3'!AJ141</f>
        <v>0</v>
      </c>
      <c r="E141" s="64">
        <f>'[1]CMF 4'!AJ141</f>
        <v>0</v>
      </c>
      <c r="F141" s="64">
        <f>'[1]CMF 5'!AJ141</f>
        <v>0</v>
      </c>
      <c r="G141" s="64">
        <f>'[1]CMF 6'!AJ141</f>
        <v>0</v>
      </c>
      <c r="H141" s="64">
        <f>'[1]CMF 7'!AJ141</f>
        <v>0</v>
      </c>
      <c r="I141" s="64">
        <f>'[1]CMF 8'!AJ141</f>
        <v>0</v>
      </c>
      <c r="J141" s="64">
        <f>'[1]CMF 9'!AJ141</f>
        <v>0</v>
      </c>
      <c r="K141" s="64">
        <f>'[1]CMF 10'!AJ141</f>
        <v>0</v>
      </c>
      <c r="L141" s="64">
        <f>'[1]CMF 11'!AJ141</f>
        <v>0</v>
      </c>
      <c r="M141" s="64"/>
      <c r="N141" s="64"/>
      <c r="O141" s="64"/>
      <c r="P141" s="64"/>
      <c r="Q141" s="63">
        <f>B141+C141+D141+E141+F141+G141+H141+I141+J141+K141+L141+M141+N141+O141+P141</f>
        <v>0</v>
      </c>
      <c r="R141" s="6"/>
      <c r="S141" s="6"/>
      <c r="T141" s="6"/>
    </row>
    <row r="142" spans="1:20" s="2" customFormat="1" ht="30.75" customHeight="1" thickTop="1" thickBot="1" x14ac:dyDescent="0.3">
      <c r="A142" s="20" t="s">
        <v>9</v>
      </c>
      <c r="B142" s="19">
        <v>1</v>
      </c>
      <c r="C142" s="19">
        <v>2</v>
      </c>
      <c r="D142" s="19">
        <v>3</v>
      </c>
      <c r="E142" s="19">
        <v>4</v>
      </c>
      <c r="F142" s="19">
        <v>5</v>
      </c>
      <c r="G142" s="19">
        <v>6</v>
      </c>
      <c r="H142" s="19">
        <v>7</v>
      </c>
      <c r="I142" s="19">
        <v>8</v>
      </c>
      <c r="J142" s="19">
        <v>9</v>
      </c>
      <c r="K142" s="19">
        <v>10</v>
      </c>
      <c r="L142" s="19">
        <v>11</v>
      </c>
      <c r="M142" s="19"/>
      <c r="N142" s="19"/>
      <c r="O142" s="19"/>
      <c r="P142" s="19"/>
      <c r="Q142" s="18" t="s">
        <v>8</v>
      </c>
      <c r="R142" s="6"/>
      <c r="S142" s="6"/>
      <c r="T142" s="6"/>
    </row>
    <row r="143" spans="1:20" s="2" customFormat="1" ht="30.75" customHeight="1" thickTop="1" thickBot="1" x14ac:dyDescent="0.3">
      <c r="A143" s="62" t="s">
        <v>60</v>
      </c>
      <c r="B143" s="61">
        <f>'[1]CMF 1 '!AJ143</f>
        <v>17</v>
      </c>
      <c r="C143" s="61">
        <f>'[1]CMF 2'!AJ143</f>
        <v>18</v>
      </c>
      <c r="D143" s="61">
        <f>'[1]CMF 3'!AJ143</f>
        <v>19</v>
      </c>
      <c r="E143" s="61">
        <f>'[1]CMF 4'!AJ143</f>
        <v>26</v>
      </c>
      <c r="F143" s="61">
        <f>'[1]CMF 5'!AJ143</f>
        <v>15</v>
      </c>
      <c r="G143" s="61">
        <f>'[1]CMF 6'!AJ143</f>
        <v>18</v>
      </c>
      <c r="H143" s="61">
        <f>'[1]CMF 7'!AJ143</f>
        <v>19</v>
      </c>
      <c r="I143" s="61">
        <f>'[1]CMF 8'!AJ143</f>
        <v>19</v>
      </c>
      <c r="J143" s="61">
        <f>'[1]CMF 9'!AJ143</f>
        <v>21</v>
      </c>
      <c r="K143" s="61">
        <f>'[1]CMF 10'!AJ143</f>
        <v>21</v>
      </c>
      <c r="L143" s="61">
        <f>'[1]CMF 11'!AJ143</f>
        <v>18</v>
      </c>
      <c r="M143" s="61"/>
      <c r="N143" s="61"/>
      <c r="O143" s="61"/>
      <c r="P143" s="61"/>
      <c r="Q143" s="60">
        <f>B143+C143+D143+E143+F143+G143+H143+I143+J143+K143+L143+M143+N143+O143+P143</f>
        <v>211</v>
      </c>
      <c r="R143" s="6"/>
      <c r="S143" s="6"/>
      <c r="T143" s="6"/>
    </row>
    <row r="144" spans="1:20" s="2" customFormat="1" ht="30.75" customHeight="1" thickTop="1" thickBot="1" x14ac:dyDescent="0.3">
      <c r="A144" s="59" t="s">
        <v>59</v>
      </c>
      <c r="B144" s="58">
        <f t="shared" ref="B144:L144" si="21">SUM(B145:B151)</f>
        <v>18</v>
      </c>
      <c r="C144" s="58">
        <f t="shared" si="21"/>
        <v>18</v>
      </c>
      <c r="D144" s="58">
        <f t="shared" si="21"/>
        <v>19</v>
      </c>
      <c r="E144" s="58">
        <f t="shared" si="21"/>
        <v>26</v>
      </c>
      <c r="F144" s="58">
        <f t="shared" si="21"/>
        <v>12</v>
      </c>
      <c r="G144" s="58">
        <f t="shared" si="21"/>
        <v>16</v>
      </c>
      <c r="H144" s="58">
        <f t="shared" si="21"/>
        <v>19</v>
      </c>
      <c r="I144" s="58">
        <f t="shared" si="21"/>
        <v>18</v>
      </c>
      <c r="J144" s="58">
        <f t="shared" si="21"/>
        <v>19</v>
      </c>
      <c r="K144" s="58">
        <f t="shared" si="21"/>
        <v>17</v>
      </c>
      <c r="L144" s="58">
        <f t="shared" si="21"/>
        <v>18</v>
      </c>
      <c r="M144" s="58"/>
      <c r="N144" s="58"/>
      <c r="O144" s="58"/>
      <c r="P144" s="58"/>
      <c r="Q144" s="58">
        <f>B144+C144+D144+E144+F144+G144+H144+I144+J144+K144+L144+M144+N144+O144+P144</f>
        <v>200</v>
      </c>
      <c r="R144" s="6"/>
      <c r="S144" s="6"/>
      <c r="T144" s="6"/>
    </row>
    <row r="145" spans="1:20" s="2" customFormat="1" ht="30.75" customHeight="1" thickTop="1" thickBot="1" x14ac:dyDescent="0.3">
      <c r="A145" s="24" t="s">
        <v>19</v>
      </c>
      <c r="B145" s="23">
        <f>'[1]CMF 1 '!AJ145</f>
        <v>0</v>
      </c>
      <c r="C145" s="23">
        <f>'[1]CMF 2'!AJ145</f>
        <v>0</v>
      </c>
      <c r="D145" s="23">
        <f>'[1]CMF 3'!AJ145</f>
        <v>0</v>
      </c>
      <c r="E145" s="23">
        <f>'[1]CMF 4'!AJ145</f>
        <v>0</v>
      </c>
      <c r="F145" s="23">
        <f>'[1]CMF 5'!AJ145</f>
        <v>0</v>
      </c>
      <c r="G145" s="23">
        <f>'[1]CMF 6'!AJ145</f>
        <v>0</v>
      </c>
      <c r="H145" s="23">
        <f>'[1]CMF 7'!AJ145</f>
        <v>0</v>
      </c>
      <c r="I145" s="23">
        <f>'[1]CMF 8'!AJ145</f>
        <v>0</v>
      </c>
      <c r="J145" s="23">
        <f>'[1]CMF 9'!AJ145</f>
        <v>0</v>
      </c>
      <c r="K145" s="23">
        <f>'[1]CMF 10'!AJ145</f>
        <v>0</v>
      </c>
      <c r="L145" s="23">
        <f>'[1]CMF 11'!AJ145</f>
        <v>0</v>
      </c>
      <c r="M145" s="23"/>
      <c r="N145" s="23"/>
      <c r="O145" s="23"/>
      <c r="P145" s="23"/>
      <c r="Q145" s="22">
        <f>B145+C145+D145+E145+F145+G145+H145+I145+J145+K145+L145+M145+N145+O145+P145</f>
        <v>0</v>
      </c>
      <c r="R145" s="6"/>
      <c r="S145" s="6"/>
      <c r="T145" s="6"/>
    </row>
    <row r="146" spans="1:20" s="2" customFormat="1" ht="30.75" customHeight="1" thickTop="1" thickBot="1" x14ac:dyDescent="0.3">
      <c r="A146" s="24" t="s">
        <v>18</v>
      </c>
      <c r="B146" s="23">
        <f>'[1]CMF 1 '!AJ146</f>
        <v>2</v>
      </c>
      <c r="C146" s="23">
        <f>'[1]CMF 2'!AJ146</f>
        <v>2</v>
      </c>
      <c r="D146" s="23">
        <f>'[1]CMF 3'!AJ146</f>
        <v>2</v>
      </c>
      <c r="E146" s="23">
        <f>'[1]CMF 4'!AJ146</f>
        <v>0</v>
      </c>
      <c r="F146" s="23">
        <f>'[1]CMF 5'!AJ146</f>
        <v>0</v>
      </c>
      <c r="G146" s="23">
        <f>'[1]CMF 6'!AJ146</f>
        <v>2</v>
      </c>
      <c r="H146" s="23">
        <f>'[1]CMF 7'!AJ146</f>
        <v>0</v>
      </c>
      <c r="I146" s="23">
        <f>'[1]CMF 8'!AJ146</f>
        <v>1</v>
      </c>
      <c r="J146" s="23">
        <f>'[1]CMF 9'!AJ146</f>
        <v>1</v>
      </c>
      <c r="K146" s="23">
        <f>'[1]CMF 10'!AJ146</f>
        <v>0</v>
      </c>
      <c r="L146" s="23">
        <f>'[1]CMF 11'!AJ146</f>
        <v>0</v>
      </c>
      <c r="M146" s="23"/>
      <c r="N146" s="23"/>
      <c r="O146" s="23"/>
      <c r="P146" s="23"/>
      <c r="Q146" s="22">
        <f>B146+C146+D146+E146+F146+G146+H146+I146+J146+K146+L146+M146+N146+O146+P146</f>
        <v>10</v>
      </c>
      <c r="R146" s="6"/>
      <c r="S146" s="6"/>
      <c r="T146" s="6"/>
    </row>
    <row r="147" spans="1:20" s="2" customFormat="1" ht="30.75" customHeight="1" thickTop="1" thickBot="1" x14ac:dyDescent="0.3">
      <c r="A147" s="24" t="s">
        <v>17</v>
      </c>
      <c r="B147" s="23">
        <f>'[1]CMF 1 '!AJ147</f>
        <v>0</v>
      </c>
      <c r="C147" s="23">
        <f>'[1]CMF 2'!AJ147</f>
        <v>0</v>
      </c>
      <c r="D147" s="23">
        <f>'[1]CMF 3'!AJ147</f>
        <v>1</v>
      </c>
      <c r="E147" s="23">
        <f>'[1]CMF 4'!AJ147</f>
        <v>0</v>
      </c>
      <c r="F147" s="23">
        <f>'[1]CMF 5'!AJ147</f>
        <v>3</v>
      </c>
      <c r="G147" s="23">
        <f>'[1]CMF 6'!AJ147</f>
        <v>0</v>
      </c>
      <c r="H147" s="23">
        <f>'[1]CMF 7'!AJ147</f>
        <v>2</v>
      </c>
      <c r="I147" s="23">
        <f>'[1]CMF 8'!AJ147</f>
        <v>1</v>
      </c>
      <c r="J147" s="23">
        <f>'[1]CMF 9'!AJ147</f>
        <v>1</v>
      </c>
      <c r="K147" s="23">
        <f>'[1]CMF 10'!AJ147</f>
        <v>1</v>
      </c>
      <c r="L147" s="23">
        <f>'[1]CMF 11'!AJ147</f>
        <v>0</v>
      </c>
      <c r="M147" s="23"/>
      <c r="N147" s="23"/>
      <c r="O147" s="23"/>
      <c r="P147" s="23"/>
      <c r="Q147" s="22">
        <f>B147+C147+D147+E147+F147+G147+H147+I147+J147+K147+L147+M147+N147+O147+P147</f>
        <v>9</v>
      </c>
      <c r="R147" s="6"/>
      <c r="S147" s="6"/>
      <c r="T147" s="6"/>
    </row>
    <row r="148" spans="1:20" s="2" customFormat="1" ht="30.75" customHeight="1" thickTop="1" thickBot="1" x14ac:dyDescent="0.3">
      <c r="A148" s="24" t="s">
        <v>16</v>
      </c>
      <c r="B148" s="23">
        <f>'[1]CMF 1 '!AJ148</f>
        <v>0</v>
      </c>
      <c r="C148" s="23">
        <f>'[1]CMF 2'!AJ148</f>
        <v>1</v>
      </c>
      <c r="D148" s="23">
        <f>'[1]CMF 3'!AJ148</f>
        <v>1</v>
      </c>
      <c r="E148" s="23">
        <f>'[1]CMF 4'!AJ148</f>
        <v>1</v>
      </c>
      <c r="F148" s="23">
        <f>'[1]CMF 5'!AJ148</f>
        <v>0</v>
      </c>
      <c r="G148" s="23">
        <f>'[1]CMF 6'!AJ148</f>
        <v>1</v>
      </c>
      <c r="H148" s="23">
        <f>'[1]CMF 7'!AJ148</f>
        <v>0</v>
      </c>
      <c r="I148" s="23">
        <f>'[1]CMF 8'!AJ148</f>
        <v>2</v>
      </c>
      <c r="J148" s="23">
        <f>'[1]CMF 9'!AJ148</f>
        <v>0</v>
      </c>
      <c r="K148" s="23">
        <f>'[1]CMF 10'!AJ148</f>
        <v>0</v>
      </c>
      <c r="L148" s="23">
        <f>'[1]CMF 11'!AJ148</f>
        <v>0</v>
      </c>
      <c r="M148" s="23"/>
      <c r="N148" s="23"/>
      <c r="O148" s="23"/>
      <c r="P148" s="23"/>
      <c r="Q148" s="22">
        <f>B148+C148+D148+E148+F148+G148+H148+I148+J148+K148+L148+M148+N148+O148+P148</f>
        <v>6</v>
      </c>
      <c r="R148" s="6"/>
      <c r="S148" s="6"/>
      <c r="T148" s="6"/>
    </row>
    <row r="149" spans="1:20" s="2" customFormat="1" ht="30.75" customHeight="1" thickTop="1" thickBot="1" x14ac:dyDescent="0.3">
      <c r="A149" s="24" t="s">
        <v>15</v>
      </c>
      <c r="B149" s="23">
        <f>'[1]CMF 1 '!AJ149</f>
        <v>0</v>
      </c>
      <c r="C149" s="23">
        <f>'[1]CMF 2'!AJ149</f>
        <v>0</v>
      </c>
      <c r="D149" s="23">
        <f>'[1]CMF 3'!AJ149</f>
        <v>0</v>
      </c>
      <c r="E149" s="23">
        <f>'[1]CMF 4'!AJ149</f>
        <v>0</v>
      </c>
      <c r="F149" s="23">
        <f>'[1]CMF 5'!AJ149</f>
        <v>1</v>
      </c>
      <c r="G149" s="23">
        <f>'[1]CMF 6'!AJ149</f>
        <v>0</v>
      </c>
      <c r="H149" s="23">
        <f>'[1]CMF 7'!AJ149</f>
        <v>0</v>
      </c>
      <c r="I149" s="23">
        <f>'[1]CMF 8'!AJ149</f>
        <v>0</v>
      </c>
      <c r="J149" s="23">
        <f>'[1]CMF 9'!AJ149</f>
        <v>0</v>
      </c>
      <c r="K149" s="23">
        <f>'[1]CMF 10'!AJ149</f>
        <v>1</v>
      </c>
      <c r="L149" s="23">
        <f>'[1]CMF 11'!AJ149</f>
        <v>1</v>
      </c>
      <c r="M149" s="23"/>
      <c r="N149" s="23"/>
      <c r="O149" s="23"/>
      <c r="P149" s="23"/>
      <c r="Q149" s="22">
        <f>B149+C149+D149+E149+F149+G149+H149+I149+J149+K149+L149+M149+N149+O149+P149</f>
        <v>3</v>
      </c>
      <c r="R149" s="6"/>
      <c r="S149" s="6"/>
      <c r="T149" s="6"/>
    </row>
    <row r="150" spans="1:20" s="2" customFormat="1" ht="30.75" customHeight="1" thickTop="1" thickBot="1" x14ac:dyDescent="0.3">
      <c r="A150" s="24" t="s">
        <v>58</v>
      </c>
      <c r="B150" s="23">
        <f>'[1]CMF 1 '!AJ150</f>
        <v>10</v>
      </c>
      <c r="C150" s="23">
        <f>'[1]CMF 2'!AJ150</f>
        <v>12</v>
      </c>
      <c r="D150" s="23">
        <f>'[1]CMF 3'!AJ150</f>
        <v>9</v>
      </c>
      <c r="E150" s="23">
        <f>'[1]CMF 4'!AJ150</f>
        <v>19</v>
      </c>
      <c r="F150" s="23">
        <f>'[1]CMF 5'!AJ150</f>
        <v>5</v>
      </c>
      <c r="G150" s="23">
        <f>'[1]CMF 6'!AJ150</f>
        <v>10</v>
      </c>
      <c r="H150" s="23">
        <f>'[1]CMF 7'!AJ150</f>
        <v>7</v>
      </c>
      <c r="I150" s="23">
        <f>'[1]CMF 8'!AJ150</f>
        <v>7</v>
      </c>
      <c r="J150" s="23">
        <f>'[1]CMF 9'!AJ150</f>
        <v>15</v>
      </c>
      <c r="K150" s="23">
        <f>'[1]CMF 10'!AJ150</f>
        <v>9</v>
      </c>
      <c r="L150" s="23">
        <f>'[1]CMF 11'!AJ150</f>
        <v>10</v>
      </c>
      <c r="M150" s="23"/>
      <c r="N150" s="23"/>
      <c r="O150" s="23"/>
      <c r="P150" s="23"/>
      <c r="Q150" s="22">
        <f>B150+C150+D150+E150+F150+G150+H150+I150+J150+K150+L150+M150+N150+O150+P150</f>
        <v>113</v>
      </c>
      <c r="R150" s="6"/>
      <c r="S150" s="6"/>
      <c r="T150" s="6"/>
    </row>
    <row r="151" spans="1:20" s="2" customFormat="1" ht="30.75" customHeight="1" thickTop="1" thickBot="1" x14ac:dyDescent="0.3">
      <c r="A151" s="24" t="s">
        <v>57</v>
      </c>
      <c r="B151" s="23">
        <f>'[1]CMF 1 '!AJ151</f>
        <v>6</v>
      </c>
      <c r="C151" s="23">
        <f>'[1]CMF 2'!AJ151</f>
        <v>3</v>
      </c>
      <c r="D151" s="23">
        <f>'[1]CMF 3'!AJ151</f>
        <v>6</v>
      </c>
      <c r="E151" s="23">
        <f>'[1]CMF 4'!AJ151</f>
        <v>6</v>
      </c>
      <c r="F151" s="23">
        <f>'[1]CMF 5'!AJ151</f>
        <v>3</v>
      </c>
      <c r="G151" s="23">
        <f>'[1]CMF 6'!AJ151</f>
        <v>3</v>
      </c>
      <c r="H151" s="23">
        <f>'[1]CMF 7'!AJ151</f>
        <v>10</v>
      </c>
      <c r="I151" s="23">
        <f>'[1]CMF 8'!AJ151</f>
        <v>7</v>
      </c>
      <c r="J151" s="23">
        <f>'[1]CMF 9'!AJ151</f>
        <v>2</v>
      </c>
      <c r="K151" s="23">
        <f>'[1]CMF 10'!AJ151</f>
        <v>6</v>
      </c>
      <c r="L151" s="23">
        <f>'[1]CMF 11'!AJ151</f>
        <v>7</v>
      </c>
      <c r="M151" s="23"/>
      <c r="N151" s="23"/>
      <c r="O151" s="23"/>
      <c r="P151" s="23"/>
      <c r="Q151" s="22">
        <f>B151+C151+D151+E151+F151+G151+H151+I151+J151+K151+L151+M151+N151+O151+P151</f>
        <v>59</v>
      </c>
      <c r="R151" s="6"/>
      <c r="S151" s="6"/>
      <c r="T151" s="6"/>
    </row>
    <row r="152" spans="1:20" s="2" customFormat="1" ht="30.75" customHeight="1" thickTop="1" thickBot="1" x14ac:dyDescent="0.3">
      <c r="A152" s="57" t="s">
        <v>56</v>
      </c>
      <c r="B152" s="56">
        <f>'[1]CMF 1 '!AJ152</f>
        <v>126</v>
      </c>
      <c r="C152" s="56">
        <f>'[1]CMF 2'!AJ152</f>
        <v>131</v>
      </c>
      <c r="D152" s="56">
        <f>'[1]CMF 3'!AJ152</f>
        <v>136</v>
      </c>
      <c r="E152" s="56">
        <f>'[1]CMF 4'!AJ152</f>
        <v>186</v>
      </c>
      <c r="F152" s="56">
        <f>'[1]CMF 5'!AJ152</f>
        <v>86</v>
      </c>
      <c r="G152" s="56">
        <f>'[1]CMF 6'!AJ152</f>
        <v>113</v>
      </c>
      <c r="H152" s="56">
        <f>'[1]CMF 7'!AJ152</f>
        <v>142</v>
      </c>
      <c r="I152" s="56">
        <f>'[1]CMF 8'!AJ152</f>
        <v>122</v>
      </c>
      <c r="J152" s="56">
        <f>'[1]CMF 9'!AJ152</f>
        <v>125</v>
      </c>
      <c r="K152" s="56">
        <f>'[1]CMF 10'!AJ152</f>
        <v>119</v>
      </c>
      <c r="L152" s="56">
        <f>'[1]CMF 11'!AJ152</f>
        <v>126</v>
      </c>
      <c r="M152" s="56"/>
      <c r="N152" s="56"/>
      <c r="O152" s="56"/>
      <c r="P152" s="56"/>
      <c r="Q152" s="56">
        <f>B152+C152+D152+E152+F152+G152+H152+I152+J152+K152+L152+M152+N152+O152+P152</f>
        <v>1412</v>
      </c>
      <c r="R152" s="6"/>
      <c r="S152" s="6"/>
      <c r="T152" s="6"/>
    </row>
    <row r="153" spans="1:20" s="2" customFormat="1" ht="30.75" customHeight="1" thickTop="1" thickBot="1" x14ac:dyDescent="0.3">
      <c r="A153" s="24" t="s">
        <v>55</v>
      </c>
      <c r="B153" s="30">
        <f>'[1]CMF 1 '!AJ153</f>
        <v>2</v>
      </c>
      <c r="C153" s="30">
        <f>'[1]CMF 2'!AJ153</f>
        <v>1</v>
      </c>
      <c r="D153" s="30">
        <f>'[1]CMF 3'!AJ153</f>
        <v>1</v>
      </c>
      <c r="E153" s="30">
        <f>'[1]CMF 4'!AJ153</f>
        <v>5</v>
      </c>
      <c r="F153" s="30">
        <f>'[1]CMF 5'!AJ153</f>
        <v>0</v>
      </c>
      <c r="G153" s="30">
        <f>'[1]CMF 6'!AJ153</f>
        <v>0</v>
      </c>
      <c r="H153" s="30">
        <f>'[1]CMF 7'!AJ153</f>
        <v>0</v>
      </c>
      <c r="I153" s="30">
        <f>'[1]CMF 8'!AJ153</f>
        <v>0</v>
      </c>
      <c r="J153" s="30">
        <f>'[1]CMF 9'!AJ153</f>
        <v>3</v>
      </c>
      <c r="K153" s="30">
        <f>'[1]CMF 10'!AJ153</f>
        <v>0</v>
      </c>
      <c r="L153" s="30">
        <f>'[1]CMF 11'!AJ153</f>
        <v>2</v>
      </c>
      <c r="M153" s="30"/>
      <c r="N153" s="30"/>
      <c r="O153" s="30"/>
      <c r="P153" s="30"/>
      <c r="Q153" s="22">
        <f>B153+C153+D153+E153+F153+G153+H153+I153+J153+K153+L153+M153+N153+O153+P153</f>
        <v>14</v>
      </c>
      <c r="R153" s="6"/>
      <c r="S153" s="6"/>
      <c r="T153" s="6"/>
    </row>
    <row r="154" spans="1:20" s="2" customFormat="1" ht="30.75" customHeight="1" thickTop="1" thickBot="1" x14ac:dyDescent="0.3">
      <c r="A154" s="24" t="s">
        <v>54</v>
      </c>
      <c r="B154" s="30">
        <f>'[1]CMF 1 '!AJ154</f>
        <v>6</v>
      </c>
      <c r="C154" s="30">
        <f>'[1]CMF 2'!AJ154</f>
        <v>3</v>
      </c>
      <c r="D154" s="30">
        <f>'[1]CMF 3'!AJ154</f>
        <v>2</v>
      </c>
      <c r="E154" s="30">
        <f>'[1]CMF 4'!AJ154</f>
        <v>1</v>
      </c>
      <c r="F154" s="30">
        <f>'[1]CMF 5'!AJ154</f>
        <v>6</v>
      </c>
      <c r="G154" s="30">
        <f>'[1]CMF 6'!AJ154</f>
        <v>5</v>
      </c>
      <c r="H154" s="30">
        <f>'[1]CMF 7'!AJ154</f>
        <v>0</v>
      </c>
      <c r="I154" s="30">
        <f>'[1]CMF 8'!AJ154</f>
        <v>3</v>
      </c>
      <c r="J154" s="30">
        <f>'[1]CMF 9'!AJ154</f>
        <v>2</v>
      </c>
      <c r="K154" s="30">
        <f>'[1]CMF 10'!AJ154</f>
        <v>1</v>
      </c>
      <c r="L154" s="30">
        <f>'[1]CMF 11'!AJ154</f>
        <v>3</v>
      </c>
      <c r="M154" s="30"/>
      <c r="N154" s="30"/>
      <c r="O154" s="30"/>
      <c r="P154" s="30"/>
      <c r="Q154" s="22">
        <f>B154+C154+D154+E154+F154+G154+H154+I154+J154+K154+L154+M154+N154+O154+P154</f>
        <v>32</v>
      </c>
      <c r="R154" s="6"/>
      <c r="S154" s="6"/>
      <c r="T154" s="6"/>
    </row>
    <row r="155" spans="1:20" s="2" customFormat="1" ht="30.75" customHeight="1" thickTop="1" thickBot="1" x14ac:dyDescent="0.3">
      <c r="A155" s="24" t="s">
        <v>53</v>
      </c>
      <c r="B155" s="30">
        <f>'[1]CMF 1 '!AJ155</f>
        <v>0</v>
      </c>
      <c r="C155" s="30">
        <f>'[1]CMF 2'!AJ155</f>
        <v>0</v>
      </c>
      <c r="D155" s="30">
        <f>'[1]CMF 3'!AJ155</f>
        <v>0</v>
      </c>
      <c r="E155" s="30">
        <f>'[1]CMF 4'!AJ155</f>
        <v>0</v>
      </c>
      <c r="F155" s="30">
        <f>'[1]CMF 5'!AJ155</f>
        <v>0</v>
      </c>
      <c r="G155" s="30">
        <f>'[1]CMF 6'!AJ155</f>
        <v>0</v>
      </c>
      <c r="H155" s="30">
        <f>'[1]CMF 7'!AJ155</f>
        <v>0</v>
      </c>
      <c r="I155" s="30">
        <f>'[1]CMF 8'!AJ155</f>
        <v>0</v>
      </c>
      <c r="J155" s="30">
        <f>'[1]CMF 9'!AJ155</f>
        <v>0</v>
      </c>
      <c r="K155" s="30">
        <f>'[1]CMF 10'!AJ155</f>
        <v>0</v>
      </c>
      <c r="L155" s="30">
        <f>'[1]CMF 11'!AJ155</f>
        <v>0</v>
      </c>
      <c r="M155" s="30"/>
      <c r="N155" s="30"/>
      <c r="O155" s="30"/>
      <c r="P155" s="30"/>
      <c r="Q155" s="22">
        <f>B155+C155+D155+E155+F155+G155+H155+I155+J155+K155+L155+M155+N155+O155+P155</f>
        <v>0</v>
      </c>
      <c r="R155" s="6"/>
      <c r="S155" s="6"/>
      <c r="T155" s="6"/>
    </row>
    <row r="156" spans="1:20" s="2" customFormat="1" ht="30.75" customHeight="1" thickTop="1" thickBot="1" x14ac:dyDescent="0.3">
      <c r="A156" s="24" t="s">
        <v>52</v>
      </c>
      <c r="B156" s="30">
        <f>'[1]CMF 1 '!AJ156</f>
        <v>0</v>
      </c>
      <c r="C156" s="30">
        <f>'[1]CMF 2'!AJ156</f>
        <v>0</v>
      </c>
      <c r="D156" s="30">
        <f>'[1]CMF 3'!AJ156</f>
        <v>0</v>
      </c>
      <c r="E156" s="30">
        <f>'[1]CMF 4'!AJ156</f>
        <v>0</v>
      </c>
      <c r="F156" s="30">
        <f>'[1]CMF 5'!AJ156</f>
        <v>0</v>
      </c>
      <c r="G156" s="30">
        <f>'[1]CMF 6'!AJ156</f>
        <v>0</v>
      </c>
      <c r="H156" s="30">
        <f>'[1]CMF 7'!AJ156</f>
        <v>0</v>
      </c>
      <c r="I156" s="30">
        <f>'[1]CMF 8'!AJ156</f>
        <v>0</v>
      </c>
      <c r="J156" s="30">
        <f>'[1]CMF 9'!AJ156</f>
        <v>0</v>
      </c>
      <c r="K156" s="30">
        <f>'[1]CMF 10'!AJ156</f>
        <v>0</v>
      </c>
      <c r="L156" s="30">
        <f>'[1]CMF 11'!AJ156</f>
        <v>2</v>
      </c>
      <c r="M156" s="30"/>
      <c r="N156" s="30"/>
      <c r="O156" s="30"/>
      <c r="P156" s="30"/>
      <c r="Q156" s="22">
        <f>B156+C156+D156+E156+F156+G156+H156+I156+J156+K156+L156+M156+N156+O156+P156</f>
        <v>2</v>
      </c>
      <c r="R156" s="6"/>
      <c r="S156" s="6"/>
      <c r="T156" s="6"/>
    </row>
    <row r="157" spans="1:20" s="2" customFormat="1" ht="30.75" customHeight="1" thickTop="1" thickBot="1" x14ac:dyDescent="0.3">
      <c r="A157" s="24" t="s">
        <v>51</v>
      </c>
      <c r="B157" s="30">
        <f>'[1]CMF 1 '!AJ157</f>
        <v>2</v>
      </c>
      <c r="C157" s="30">
        <f>'[1]CMF 2'!AJ157</f>
        <v>0</v>
      </c>
      <c r="D157" s="30">
        <f>'[1]CMF 3'!AJ157</f>
        <v>0</v>
      </c>
      <c r="E157" s="30">
        <f>'[1]CMF 4'!AJ157</f>
        <v>14</v>
      </c>
      <c r="F157" s="30">
        <f>'[1]CMF 5'!AJ157</f>
        <v>2</v>
      </c>
      <c r="G157" s="30">
        <f>'[1]CMF 6'!AJ157</f>
        <v>2</v>
      </c>
      <c r="H157" s="30">
        <f>'[1]CMF 7'!AJ157</f>
        <v>2</v>
      </c>
      <c r="I157" s="30">
        <f>'[1]CMF 8'!AJ157</f>
        <v>1</v>
      </c>
      <c r="J157" s="30">
        <f>'[1]CMF 9'!AJ157</f>
        <v>1</v>
      </c>
      <c r="K157" s="30">
        <f>'[1]CMF 10'!AJ157</f>
        <v>5</v>
      </c>
      <c r="L157" s="30">
        <f>'[1]CMF 11'!AJ157</f>
        <v>3</v>
      </c>
      <c r="M157" s="30"/>
      <c r="N157" s="30"/>
      <c r="O157" s="30"/>
      <c r="P157" s="30"/>
      <c r="Q157" s="22">
        <f>B157+C157+D157+E157+F157+G157+H157+I157+J157+K157+L157+M157+N157+O157+P157</f>
        <v>32</v>
      </c>
      <c r="R157" s="6"/>
      <c r="S157" s="6"/>
      <c r="T157" s="6"/>
    </row>
    <row r="158" spans="1:20" s="2" customFormat="1" ht="30.75" customHeight="1" thickTop="1" thickBot="1" x14ac:dyDescent="0.3">
      <c r="A158" s="24" t="s">
        <v>50</v>
      </c>
      <c r="B158" s="30">
        <f>'[1]CMF 1 '!AJ158</f>
        <v>0</v>
      </c>
      <c r="C158" s="30">
        <f>'[1]CMF 2'!AJ158</f>
        <v>0</v>
      </c>
      <c r="D158" s="30">
        <f>'[1]CMF 3'!AJ158</f>
        <v>2</v>
      </c>
      <c r="E158" s="30">
        <f>'[1]CMF 4'!AJ158</f>
        <v>0</v>
      </c>
      <c r="F158" s="30">
        <f>'[1]CMF 5'!AJ158</f>
        <v>0</v>
      </c>
      <c r="G158" s="30">
        <f>'[1]CMF 6'!AJ158</f>
        <v>0</v>
      </c>
      <c r="H158" s="30">
        <f>'[1]CMF 7'!AJ158</f>
        <v>0</v>
      </c>
      <c r="I158" s="30">
        <f>'[1]CMF 8'!AJ158</f>
        <v>0</v>
      </c>
      <c r="J158" s="30">
        <f>'[1]CMF 9'!AJ158</f>
        <v>1</v>
      </c>
      <c r="K158" s="30">
        <f>'[1]CMF 10'!AJ158</f>
        <v>0</v>
      </c>
      <c r="L158" s="30">
        <f>'[1]CMF 11'!AJ158</f>
        <v>0</v>
      </c>
      <c r="M158" s="30"/>
      <c r="N158" s="30"/>
      <c r="O158" s="30"/>
      <c r="P158" s="30"/>
      <c r="Q158" s="22">
        <f>B158+C158+D158+E158+F158+G158+H158+I158+J158+K158+L158+M158+N158+O158+P158</f>
        <v>3</v>
      </c>
      <c r="R158" s="6"/>
      <c r="S158" s="6"/>
      <c r="T158" s="6"/>
    </row>
    <row r="159" spans="1:20" s="2" customFormat="1" ht="30.75" customHeight="1" thickTop="1" thickBot="1" x14ac:dyDescent="0.3">
      <c r="A159" s="24" t="s">
        <v>49</v>
      </c>
      <c r="B159" s="30">
        <f>'[1]CMF 1 '!AJ159</f>
        <v>0</v>
      </c>
      <c r="C159" s="30">
        <f>'[1]CMF 2'!AJ159</f>
        <v>0</v>
      </c>
      <c r="D159" s="30">
        <f>'[1]CMF 3'!AJ159</f>
        <v>0</v>
      </c>
      <c r="E159" s="30">
        <f>'[1]CMF 4'!AJ159</f>
        <v>0</v>
      </c>
      <c r="F159" s="30">
        <f>'[1]CMF 5'!AJ159</f>
        <v>0</v>
      </c>
      <c r="G159" s="30">
        <f>'[1]CMF 6'!AJ159</f>
        <v>0</v>
      </c>
      <c r="H159" s="30">
        <f>'[1]CMF 7'!AJ159</f>
        <v>0</v>
      </c>
      <c r="I159" s="30">
        <f>'[1]CMF 8'!AJ159</f>
        <v>0</v>
      </c>
      <c r="J159" s="30">
        <f>'[1]CMF 9'!AJ159</f>
        <v>0</v>
      </c>
      <c r="K159" s="30">
        <f>'[1]CMF 10'!AJ159</f>
        <v>0</v>
      </c>
      <c r="L159" s="30">
        <f>'[1]CMF 11'!AJ159</f>
        <v>0</v>
      </c>
      <c r="M159" s="30"/>
      <c r="N159" s="30"/>
      <c r="O159" s="30"/>
      <c r="P159" s="30"/>
      <c r="Q159" s="22">
        <f>B159+C159+D159+E159+F159+G159+H159+I159+J159+K159+L159+M159+N159+O159+P159</f>
        <v>0</v>
      </c>
      <c r="R159" s="6"/>
      <c r="S159" s="6"/>
      <c r="T159" s="6"/>
    </row>
    <row r="160" spans="1:20" s="2" customFormat="1" ht="30.75" customHeight="1" thickTop="1" thickBot="1" x14ac:dyDescent="0.3">
      <c r="A160" s="24" t="s">
        <v>48</v>
      </c>
      <c r="B160" s="30">
        <f>'[1]CMF 1 '!AJ160</f>
        <v>0</v>
      </c>
      <c r="C160" s="30">
        <f>'[1]CMF 2'!AJ160</f>
        <v>3</v>
      </c>
      <c r="D160" s="30">
        <f>'[1]CMF 3'!AJ160</f>
        <v>0</v>
      </c>
      <c r="E160" s="30">
        <f>'[1]CMF 4'!AJ160</f>
        <v>1</v>
      </c>
      <c r="F160" s="30">
        <f>'[1]CMF 5'!AJ160</f>
        <v>0</v>
      </c>
      <c r="G160" s="30">
        <f>'[1]CMF 6'!AJ160</f>
        <v>2</v>
      </c>
      <c r="H160" s="30">
        <f>'[1]CMF 7'!AJ160</f>
        <v>0</v>
      </c>
      <c r="I160" s="30">
        <f>'[1]CMF 8'!AJ160</f>
        <v>1</v>
      </c>
      <c r="J160" s="30">
        <f>'[1]CMF 9'!AJ160</f>
        <v>1</v>
      </c>
      <c r="K160" s="30">
        <f>'[1]CMF 10'!AJ160</f>
        <v>0</v>
      </c>
      <c r="L160" s="30">
        <f>'[1]CMF 11'!AJ160</f>
        <v>0</v>
      </c>
      <c r="M160" s="30"/>
      <c r="N160" s="30"/>
      <c r="O160" s="30"/>
      <c r="P160" s="30"/>
      <c r="Q160" s="22">
        <f>B160+C160+D160+E160+F160+G160+H160+I160+J160+K160+L160+M160+N160+O160+P160</f>
        <v>8</v>
      </c>
      <c r="R160" s="6"/>
      <c r="S160" s="6"/>
      <c r="T160" s="6"/>
    </row>
    <row r="161" spans="1:20" s="2" customFormat="1" ht="30.75" customHeight="1" thickTop="1" thickBot="1" x14ac:dyDescent="0.3">
      <c r="A161" s="24" t="s">
        <v>47</v>
      </c>
      <c r="B161" s="30">
        <f>'[1]CMF 1 '!AJ161</f>
        <v>2</v>
      </c>
      <c r="C161" s="30">
        <f>'[1]CMF 2'!AJ161</f>
        <v>0</v>
      </c>
      <c r="D161" s="30">
        <f>'[1]CMF 3'!AJ161</f>
        <v>0</v>
      </c>
      <c r="E161" s="30">
        <f>'[1]CMF 4'!AJ161</f>
        <v>4</v>
      </c>
      <c r="F161" s="30">
        <f>'[1]CMF 5'!AJ161</f>
        <v>0</v>
      </c>
      <c r="G161" s="30">
        <f>'[1]CMF 6'!AJ161</f>
        <v>1</v>
      </c>
      <c r="H161" s="30">
        <f>'[1]CMF 7'!AJ161</f>
        <v>4</v>
      </c>
      <c r="I161" s="30">
        <f>'[1]CMF 8'!AJ161</f>
        <v>0</v>
      </c>
      <c r="J161" s="30">
        <f>'[1]CMF 9'!AJ161</f>
        <v>0</v>
      </c>
      <c r="K161" s="30">
        <f>'[1]CMF 10'!AJ161</f>
        <v>1</v>
      </c>
      <c r="L161" s="30">
        <f>'[1]CMF 11'!AJ161</f>
        <v>0</v>
      </c>
      <c r="M161" s="30"/>
      <c r="N161" s="30"/>
      <c r="O161" s="30"/>
      <c r="P161" s="30"/>
      <c r="Q161" s="22">
        <f>B161+C161+D161+E161+F161+G161+H161+I161+J161+K161+L161+M161+N161+O161+P161</f>
        <v>12</v>
      </c>
      <c r="R161" s="6"/>
      <c r="S161" s="6"/>
      <c r="T161" s="6"/>
    </row>
    <row r="162" spans="1:20" s="2" customFormat="1" ht="30.75" customHeight="1" thickTop="1" thickBot="1" x14ac:dyDescent="0.3">
      <c r="A162" s="24" t="s">
        <v>46</v>
      </c>
      <c r="B162" s="30">
        <f>'[1]CMF 1 '!AJ162</f>
        <v>0</v>
      </c>
      <c r="C162" s="30">
        <f>'[1]CMF 2'!AJ162</f>
        <v>0</v>
      </c>
      <c r="D162" s="30">
        <f>'[1]CMF 3'!AJ162</f>
        <v>0</v>
      </c>
      <c r="E162" s="30">
        <f>'[1]CMF 4'!AJ162</f>
        <v>0</v>
      </c>
      <c r="F162" s="30">
        <f>'[1]CMF 5'!AJ162</f>
        <v>0</v>
      </c>
      <c r="G162" s="30">
        <f>'[1]CMF 6'!AJ162</f>
        <v>0</v>
      </c>
      <c r="H162" s="30">
        <f>'[1]CMF 7'!AJ162</f>
        <v>0</v>
      </c>
      <c r="I162" s="30">
        <f>'[1]CMF 8'!AJ162</f>
        <v>0</v>
      </c>
      <c r="J162" s="30">
        <f>'[1]CMF 9'!AJ162</f>
        <v>0</v>
      </c>
      <c r="K162" s="30">
        <f>'[1]CMF 10'!AJ162</f>
        <v>0</v>
      </c>
      <c r="L162" s="30">
        <f>'[1]CMF 11'!AJ162</f>
        <v>0</v>
      </c>
      <c r="M162" s="30"/>
      <c r="N162" s="30"/>
      <c r="O162" s="30"/>
      <c r="P162" s="30"/>
      <c r="Q162" s="22">
        <f>B162+C162+D162+E162+F162+G162+H162+I162+J162+K162+L162+M162+N162+O162+P162</f>
        <v>0</v>
      </c>
      <c r="R162" s="6"/>
      <c r="S162" s="6"/>
      <c r="T162" s="6"/>
    </row>
    <row r="163" spans="1:20" s="2" customFormat="1" ht="30.75" customHeight="1" thickTop="1" thickBot="1" x14ac:dyDescent="0.3">
      <c r="A163" s="55" t="s">
        <v>45</v>
      </c>
      <c r="B163" s="54">
        <f>'[1]CMF 1 '!AJ163</f>
        <v>0</v>
      </c>
      <c r="C163" s="54">
        <f>'[1]CMF 2'!AJ163</f>
        <v>1</v>
      </c>
      <c r="D163" s="54">
        <f>'[1]CMF 3'!AJ163</f>
        <v>0</v>
      </c>
      <c r="E163" s="54">
        <f>'[1]CMF 4'!AJ163</f>
        <v>0</v>
      </c>
      <c r="F163" s="54">
        <f>'[1]CMF 5'!AJ163</f>
        <v>0</v>
      </c>
      <c r="G163" s="54">
        <f>'[1]CMF 6'!AJ163</f>
        <v>0</v>
      </c>
      <c r="H163" s="54">
        <f>'[1]CMF 7'!AJ163</f>
        <v>3</v>
      </c>
      <c r="I163" s="54">
        <f>'[1]CMF 8'!AJ163</f>
        <v>2</v>
      </c>
      <c r="J163" s="54">
        <f>'[1]CMF 9'!AJ163</f>
        <v>4</v>
      </c>
      <c r="K163" s="54">
        <f>'[1]CMF 10'!AJ163</f>
        <v>1</v>
      </c>
      <c r="L163" s="54">
        <f>'[1]CMF 11'!AJ163</f>
        <v>3</v>
      </c>
      <c r="M163" s="54"/>
      <c r="N163" s="54"/>
      <c r="O163" s="54"/>
      <c r="P163" s="54"/>
      <c r="Q163" s="53">
        <f>B163+C163+D163+E163+F163+G163+H163+I163+J163+K163+L163+M163+N163+O163+P163</f>
        <v>14</v>
      </c>
      <c r="R163" s="6"/>
      <c r="S163" s="6"/>
      <c r="T163" s="6"/>
    </row>
    <row r="164" spans="1:20" s="2" customFormat="1" ht="30.75" customHeight="1" thickTop="1" thickBot="1" x14ac:dyDescent="0.3">
      <c r="A164" s="24" t="s">
        <v>44</v>
      </c>
      <c r="B164" s="30">
        <f>'[1]CMF 1 '!AJ164</f>
        <v>0</v>
      </c>
      <c r="C164" s="30">
        <f>'[1]CMF 2'!AJ164</f>
        <v>0</v>
      </c>
      <c r="D164" s="30">
        <f>'[1]CMF 3'!AJ164</f>
        <v>0</v>
      </c>
      <c r="E164" s="30">
        <f>'[1]CMF 4'!AJ164</f>
        <v>1</v>
      </c>
      <c r="F164" s="30">
        <f>'[1]CMF 5'!AJ164</f>
        <v>0</v>
      </c>
      <c r="G164" s="30">
        <f>'[1]CMF 6'!AJ164</f>
        <v>0</v>
      </c>
      <c r="H164" s="30">
        <f>'[1]CMF 7'!AJ164</f>
        <v>0</v>
      </c>
      <c r="I164" s="30">
        <f>'[1]CMF 8'!AJ164</f>
        <v>0</v>
      </c>
      <c r="J164" s="30">
        <f>'[1]CMF 9'!AJ164</f>
        <v>0</v>
      </c>
      <c r="K164" s="30">
        <f>'[1]CMF 10'!AJ164</f>
        <v>0</v>
      </c>
      <c r="L164" s="30">
        <f>'[1]CMF 11'!AJ164</f>
        <v>0</v>
      </c>
      <c r="M164" s="30"/>
      <c r="N164" s="30"/>
      <c r="O164" s="30"/>
      <c r="P164" s="30"/>
      <c r="Q164" s="22">
        <f>B164+C164+D164+E164+F164+G164+H164+I164+J164+K164+L164+M164+N164+O164+P164</f>
        <v>1</v>
      </c>
      <c r="R164" s="6"/>
      <c r="S164" s="6"/>
      <c r="T164" s="6"/>
    </row>
    <row r="165" spans="1:20" s="2" customFormat="1" ht="30.75" customHeight="1" thickTop="1" thickBot="1" x14ac:dyDescent="0.3">
      <c r="A165" s="24" t="s">
        <v>43</v>
      </c>
      <c r="B165" s="30">
        <f>'[1]CMF 1 '!AJ165</f>
        <v>0</v>
      </c>
      <c r="C165" s="30">
        <f>'[1]CMF 2'!AJ165</f>
        <v>0</v>
      </c>
      <c r="D165" s="30">
        <f>'[1]CMF 3'!AJ165</f>
        <v>0</v>
      </c>
      <c r="E165" s="30">
        <f>'[1]CMF 4'!AJ165</f>
        <v>0</v>
      </c>
      <c r="F165" s="30">
        <f>'[1]CMF 5'!AJ165</f>
        <v>0</v>
      </c>
      <c r="G165" s="30">
        <f>'[1]CMF 6'!AJ165</f>
        <v>0</v>
      </c>
      <c r="H165" s="30">
        <f>'[1]CMF 7'!AJ165</f>
        <v>0</v>
      </c>
      <c r="I165" s="30">
        <f>'[1]CMF 8'!AJ165</f>
        <v>0</v>
      </c>
      <c r="J165" s="30">
        <f>'[1]CMF 9'!AJ165</f>
        <v>0</v>
      </c>
      <c r="K165" s="30">
        <f>'[1]CMF 10'!AJ165</f>
        <v>0</v>
      </c>
      <c r="L165" s="30">
        <f>'[1]CMF 11'!AJ165</f>
        <v>0</v>
      </c>
      <c r="M165" s="30"/>
      <c r="N165" s="30"/>
      <c r="O165" s="30"/>
      <c r="P165" s="30"/>
      <c r="Q165" s="22">
        <f>B165+C165+D165+E165+F165+G165+H165+I165+J165+K165+L165+M165+N165+O165+P165</f>
        <v>0</v>
      </c>
      <c r="R165" s="6"/>
      <c r="S165" s="6"/>
      <c r="T165" s="6"/>
    </row>
    <row r="166" spans="1:20" s="2" customFormat="1" ht="30.75" customHeight="1" thickTop="1" thickBot="1" x14ac:dyDescent="0.3">
      <c r="A166" s="24" t="s">
        <v>42</v>
      </c>
      <c r="B166" s="30">
        <f>'[1]CMF 1 '!AJ166</f>
        <v>0</v>
      </c>
      <c r="C166" s="30">
        <f>'[1]CMF 2'!AJ166</f>
        <v>0</v>
      </c>
      <c r="D166" s="30">
        <f>'[1]CMF 3'!AJ166</f>
        <v>0</v>
      </c>
      <c r="E166" s="30">
        <f>'[1]CMF 4'!AJ166</f>
        <v>0</v>
      </c>
      <c r="F166" s="30">
        <f>'[1]CMF 5'!AJ166</f>
        <v>0</v>
      </c>
      <c r="G166" s="30">
        <f>'[1]CMF 6'!AJ166</f>
        <v>0</v>
      </c>
      <c r="H166" s="30">
        <f>'[1]CMF 7'!AJ166</f>
        <v>0</v>
      </c>
      <c r="I166" s="30">
        <f>'[1]CMF 8'!AJ166</f>
        <v>0</v>
      </c>
      <c r="J166" s="30">
        <f>'[1]CMF 9'!AJ166</f>
        <v>0</v>
      </c>
      <c r="K166" s="30">
        <f>'[1]CMF 10'!AJ166</f>
        <v>0</v>
      </c>
      <c r="L166" s="30">
        <f>'[1]CMF 11'!AJ166</f>
        <v>0</v>
      </c>
      <c r="M166" s="30"/>
      <c r="N166" s="30"/>
      <c r="O166" s="30"/>
      <c r="P166" s="30"/>
      <c r="Q166" s="22">
        <f>B166+C166+D166+E166+F166+G166+H166+I166+J166+K166+L166+M166+N166+O166+P166</f>
        <v>0</v>
      </c>
      <c r="R166" s="6"/>
      <c r="S166" s="6"/>
      <c r="T166" s="6"/>
    </row>
    <row r="167" spans="1:20" s="2" customFormat="1" ht="30.75" customHeight="1" thickTop="1" thickBot="1" x14ac:dyDescent="0.3">
      <c r="A167" s="52" t="s">
        <v>41</v>
      </c>
      <c r="B167" s="51">
        <f>'[1]CMF 1 '!AJ167</f>
        <v>0</v>
      </c>
      <c r="C167" s="51">
        <f>'[1]CMF 2'!AJ167</f>
        <v>0</v>
      </c>
      <c r="D167" s="51">
        <f>'[1]CMF 3'!AJ167</f>
        <v>0</v>
      </c>
      <c r="E167" s="51">
        <f>'[1]CMF 4'!AJ167</f>
        <v>0</v>
      </c>
      <c r="F167" s="51">
        <f>'[1]CMF 5'!AJ167</f>
        <v>0</v>
      </c>
      <c r="G167" s="51">
        <f>'[1]CMF 6'!AJ167</f>
        <v>0</v>
      </c>
      <c r="H167" s="51">
        <f>'[1]CMF 7'!AJ167</f>
        <v>0</v>
      </c>
      <c r="I167" s="51">
        <f>'[1]CMF 8'!AJ167</f>
        <v>0</v>
      </c>
      <c r="J167" s="51">
        <f>'[1]CMF 9'!AJ167</f>
        <v>0</v>
      </c>
      <c r="K167" s="51">
        <f>'[1]CMF 10'!AJ167</f>
        <v>0</v>
      </c>
      <c r="L167" s="51">
        <f>'[1]CMF 11'!AJ167</f>
        <v>0</v>
      </c>
      <c r="M167" s="51"/>
      <c r="N167" s="51"/>
      <c r="O167" s="51"/>
      <c r="P167" s="51"/>
      <c r="Q167" s="50">
        <f>B167+C167+D167+E167+F167+G167+H167+I167+J167+K167+L167+M167+N167+O167+P167</f>
        <v>0</v>
      </c>
      <c r="R167" s="6"/>
      <c r="S167" s="6"/>
      <c r="T167" s="6"/>
    </row>
    <row r="168" spans="1:20" s="2" customFormat="1" ht="30.75" customHeight="1" thickTop="1" thickBot="1" x14ac:dyDescent="0.3">
      <c r="A168" s="24" t="s">
        <v>40</v>
      </c>
      <c r="B168" s="30">
        <f>'[1]CMF 1 '!AJ168</f>
        <v>0</v>
      </c>
      <c r="C168" s="30">
        <f>'[1]CMF 2'!AJ168</f>
        <v>0</v>
      </c>
      <c r="D168" s="30">
        <f>'[1]CMF 3'!AJ168</f>
        <v>0</v>
      </c>
      <c r="E168" s="30">
        <f>'[1]CMF 4'!AJ168</f>
        <v>0</v>
      </c>
      <c r="F168" s="30">
        <f>'[1]CMF 5'!AJ168</f>
        <v>0</v>
      </c>
      <c r="G168" s="30">
        <f>'[1]CMF 6'!AJ168</f>
        <v>0</v>
      </c>
      <c r="H168" s="30">
        <f>'[1]CMF 7'!AJ168</f>
        <v>0</v>
      </c>
      <c r="I168" s="30">
        <f>'[1]CMF 8'!AJ168</f>
        <v>0</v>
      </c>
      <c r="J168" s="30">
        <f>'[1]CMF 9'!AJ168</f>
        <v>0</v>
      </c>
      <c r="K168" s="30">
        <f>'[1]CMF 10'!AJ168</f>
        <v>0</v>
      </c>
      <c r="L168" s="30">
        <f>'[1]CMF 11'!AJ168</f>
        <v>0</v>
      </c>
      <c r="M168" s="30"/>
      <c r="N168" s="30"/>
      <c r="O168" s="30"/>
      <c r="P168" s="30"/>
      <c r="Q168" s="22">
        <f>B168+C168+D168+E168+F168+G168+H168+I168+J168+K168+L168+M168+N168+O168+P168</f>
        <v>0</v>
      </c>
      <c r="R168" s="6"/>
      <c r="S168" s="6"/>
      <c r="T168" s="6"/>
    </row>
    <row r="169" spans="1:20" s="2" customFormat="1" ht="30.75" customHeight="1" thickTop="1" thickBot="1" x14ac:dyDescent="0.3">
      <c r="A169" s="24" t="s">
        <v>39</v>
      </c>
      <c r="B169" s="30">
        <f>'[1]CMF 1 '!AJ169</f>
        <v>1</v>
      </c>
      <c r="C169" s="30">
        <f>'[1]CMF 2'!AJ169</f>
        <v>1</v>
      </c>
      <c r="D169" s="30">
        <f>'[1]CMF 3'!AJ169</f>
        <v>1</v>
      </c>
      <c r="E169" s="30">
        <f>'[1]CMF 4'!AJ169</f>
        <v>0</v>
      </c>
      <c r="F169" s="30">
        <f>'[1]CMF 5'!AJ169</f>
        <v>1</v>
      </c>
      <c r="G169" s="30">
        <f>'[1]CMF 6'!AJ169</f>
        <v>0</v>
      </c>
      <c r="H169" s="30">
        <f>'[1]CMF 7'!AJ169</f>
        <v>0</v>
      </c>
      <c r="I169" s="30">
        <f>'[1]CMF 8'!AJ169</f>
        <v>2</v>
      </c>
      <c r="J169" s="30">
        <f>'[1]CMF 9'!AJ169</f>
        <v>0</v>
      </c>
      <c r="K169" s="30">
        <f>'[1]CMF 10'!AJ169</f>
        <v>0</v>
      </c>
      <c r="L169" s="30">
        <f>'[1]CMF 11'!AJ169</f>
        <v>1</v>
      </c>
      <c r="M169" s="30"/>
      <c r="N169" s="30"/>
      <c r="O169" s="30"/>
      <c r="P169" s="30"/>
      <c r="Q169" s="22">
        <f>B169+C169+D169+E169+F169+G169+H169+I169+J169+K169+L169+M169+N169+O169+P169</f>
        <v>7</v>
      </c>
      <c r="R169" s="6"/>
      <c r="S169" s="6"/>
      <c r="T169" s="6"/>
    </row>
    <row r="170" spans="1:20" s="2" customFormat="1" ht="30.75" customHeight="1" thickTop="1" thickBot="1" x14ac:dyDescent="0.3">
      <c r="A170" s="24" t="s">
        <v>38</v>
      </c>
      <c r="B170" s="30">
        <f>'[1]CMF 1 '!AJ170</f>
        <v>0</v>
      </c>
      <c r="C170" s="30">
        <f>'[1]CMF 2'!AJ170</f>
        <v>0</v>
      </c>
      <c r="D170" s="30">
        <f>'[1]CMF 3'!AJ170</f>
        <v>0</v>
      </c>
      <c r="E170" s="30">
        <f>'[1]CMF 4'!AJ170</f>
        <v>0</v>
      </c>
      <c r="F170" s="30">
        <f>'[1]CMF 5'!AJ170</f>
        <v>0</v>
      </c>
      <c r="G170" s="30">
        <f>'[1]CMF 6'!AJ170</f>
        <v>0</v>
      </c>
      <c r="H170" s="30">
        <f>'[1]CMF 7'!AJ170</f>
        <v>0</v>
      </c>
      <c r="I170" s="30">
        <f>'[1]CMF 8'!AJ170</f>
        <v>0</v>
      </c>
      <c r="J170" s="30">
        <f>'[1]CMF 9'!AJ170</f>
        <v>0</v>
      </c>
      <c r="K170" s="30">
        <f>'[1]CMF 10'!AJ170</f>
        <v>0</v>
      </c>
      <c r="L170" s="30">
        <f>'[1]CMF 11'!AJ170</f>
        <v>0</v>
      </c>
      <c r="M170" s="30"/>
      <c r="N170" s="30"/>
      <c r="O170" s="30"/>
      <c r="P170" s="30"/>
      <c r="Q170" s="22">
        <f>B170+C170+D170+E170+F170+G170+H170+I170+J170+K170+L170+M170+N170+O170+P170</f>
        <v>0</v>
      </c>
      <c r="R170" s="6"/>
      <c r="S170" s="6"/>
      <c r="T170" s="6"/>
    </row>
    <row r="171" spans="1:20" s="2" customFormat="1" ht="30.75" customHeight="1" thickTop="1" thickBot="1" x14ac:dyDescent="0.3">
      <c r="A171" s="24" t="s">
        <v>37</v>
      </c>
      <c r="B171" s="30">
        <f>'[1]CMF 1 '!AJ171</f>
        <v>0</v>
      </c>
      <c r="C171" s="30">
        <f>'[1]CMF 2'!AJ171</f>
        <v>0</v>
      </c>
      <c r="D171" s="30">
        <f>'[1]CMF 3'!AJ171</f>
        <v>0</v>
      </c>
      <c r="E171" s="30">
        <f>'[1]CMF 4'!AJ171</f>
        <v>0</v>
      </c>
      <c r="F171" s="30">
        <f>'[1]CMF 5'!AJ171</f>
        <v>0</v>
      </c>
      <c r="G171" s="30">
        <f>'[1]CMF 6'!AJ171</f>
        <v>0</v>
      </c>
      <c r="H171" s="30">
        <f>'[1]CMF 7'!AJ171</f>
        <v>0</v>
      </c>
      <c r="I171" s="30">
        <f>'[1]CMF 8'!AJ171</f>
        <v>0</v>
      </c>
      <c r="J171" s="30">
        <f>'[1]CMF 9'!AJ171</f>
        <v>0</v>
      </c>
      <c r="K171" s="30">
        <f>'[1]CMF 10'!AJ171</f>
        <v>0</v>
      </c>
      <c r="L171" s="30">
        <f>'[1]CMF 11'!AJ171</f>
        <v>0</v>
      </c>
      <c r="M171" s="30"/>
      <c r="N171" s="30"/>
      <c r="O171" s="30"/>
      <c r="P171" s="30"/>
      <c r="Q171" s="22">
        <f>B171+C171+D171+E171+F171+G171+H171+I171+J171+K171+L171+M171+N171+O171+P171</f>
        <v>0</v>
      </c>
      <c r="R171" s="6"/>
      <c r="S171" s="6"/>
      <c r="T171" s="6"/>
    </row>
    <row r="172" spans="1:20" s="2" customFormat="1" ht="30.75" customHeight="1" thickTop="1" thickBot="1" x14ac:dyDescent="0.3">
      <c r="A172" s="24" t="s">
        <v>36</v>
      </c>
      <c r="B172" s="30">
        <f>'[1]CMF 1 '!AJ172</f>
        <v>0</v>
      </c>
      <c r="C172" s="30">
        <f>'[1]CMF 2'!AJ172</f>
        <v>0</v>
      </c>
      <c r="D172" s="30">
        <f>'[1]CMF 3'!AJ172</f>
        <v>0</v>
      </c>
      <c r="E172" s="30">
        <f>'[1]CMF 4'!AJ172</f>
        <v>0</v>
      </c>
      <c r="F172" s="30">
        <f>'[1]CMF 5'!AJ172</f>
        <v>0</v>
      </c>
      <c r="G172" s="30">
        <f>'[1]CMF 6'!AJ172</f>
        <v>0</v>
      </c>
      <c r="H172" s="30">
        <f>'[1]CMF 7'!AJ172</f>
        <v>0</v>
      </c>
      <c r="I172" s="30">
        <f>'[1]CMF 8'!AJ172</f>
        <v>0</v>
      </c>
      <c r="J172" s="30">
        <f>'[1]CMF 9'!AJ172</f>
        <v>0</v>
      </c>
      <c r="K172" s="30">
        <f>'[1]CMF 10'!AJ172</f>
        <v>0</v>
      </c>
      <c r="L172" s="30">
        <f>'[1]CMF 11'!AJ172</f>
        <v>0</v>
      </c>
      <c r="M172" s="30"/>
      <c r="N172" s="30"/>
      <c r="O172" s="30"/>
      <c r="P172" s="30"/>
      <c r="Q172" s="22">
        <f>B172+C172+D172+E172+F172+G172+H172+I172+J172+K172+L172+M172+N172+O172+P172</f>
        <v>0</v>
      </c>
      <c r="R172" s="6"/>
      <c r="S172" s="6"/>
      <c r="T172" s="6"/>
    </row>
    <row r="173" spans="1:20" s="2" customFormat="1" ht="30.75" customHeight="1" thickTop="1" thickBot="1" x14ac:dyDescent="0.3">
      <c r="A173" s="24" t="s">
        <v>35</v>
      </c>
      <c r="B173" s="30">
        <f>'[1]CMF 1 '!AJ173</f>
        <v>0</v>
      </c>
      <c r="C173" s="30">
        <f>'[1]CMF 2'!AJ173</f>
        <v>0</v>
      </c>
      <c r="D173" s="30">
        <f>'[1]CMF 3'!AJ173</f>
        <v>0</v>
      </c>
      <c r="E173" s="30">
        <f>'[1]CMF 4'!AJ173</f>
        <v>0</v>
      </c>
      <c r="F173" s="30">
        <f>'[1]CMF 5'!AJ173</f>
        <v>0</v>
      </c>
      <c r="G173" s="30">
        <f>'[1]CMF 6'!AJ173</f>
        <v>0</v>
      </c>
      <c r="H173" s="30">
        <f>'[1]CMF 7'!AJ173</f>
        <v>0</v>
      </c>
      <c r="I173" s="30">
        <f>'[1]CMF 8'!AJ173</f>
        <v>0</v>
      </c>
      <c r="J173" s="30">
        <f>'[1]CMF 9'!AJ173</f>
        <v>0</v>
      </c>
      <c r="K173" s="30">
        <f>'[1]CMF 10'!AJ173</f>
        <v>0</v>
      </c>
      <c r="L173" s="30">
        <f>'[1]CMF 11'!AJ173</f>
        <v>0</v>
      </c>
      <c r="M173" s="30"/>
      <c r="N173" s="30"/>
      <c r="O173" s="30"/>
      <c r="P173" s="30"/>
      <c r="Q173" s="22">
        <f>B173+C173+D173+E173+F173+G173+H173+I173+J173+K173+L173+M173+N173+O173+P173</f>
        <v>0</v>
      </c>
      <c r="R173" s="6"/>
      <c r="S173" s="6"/>
      <c r="T173" s="6"/>
    </row>
    <row r="174" spans="1:20" s="2" customFormat="1" ht="30.75" customHeight="1" thickTop="1" thickBot="1" x14ac:dyDescent="0.3">
      <c r="A174" s="24" t="s">
        <v>34</v>
      </c>
      <c r="B174" s="30">
        <f>'[1]CMF 1 '!AJ174</f>
        <v>5</v>
      </c>
      <c r="C174" s="30">
        <f>'[1]CMF 2'!AJ174</f>
        <v>9</v>
      </c>
      <c r="D174" s="30">
        <f>'[1]CMF 3'!AJ174</f>
        <v>13</v>
      </c>
      <c r="E174" s="30">
        <f>'[1]CMF 4'!AJ174</f>
        <v>0</v>
      </c>
      <c r="F174" s="30">
        <f>'[1]CMF 5'!AJ174</f>
        <v>3</v>
      </c>
      <c r="G174" s="30">
        <f>'[1]CMF 6'!AJ174</f>
        <v>6</v>
      </c>
      <c r="H174" s="30">
        <f>'[1]CMF 7'!AJ174</f>
        <v>10</v>
      </c>
      <c r="I174" s="30">
        <f>'[1]CMF 8'!AJ174</f>
        <v>9</v>
      </c>
      <c r="J174" s="30">
        <f>'[1]CMF 9'!AJ174</f>
        <v>7</v>
      </c>
      <c r="K174" s="30">
        <f>'[1]CMF 10'!AJ174</f>
        <v>9</v>
      </c>
      <c r="L174" s="30">
        <f>'[1]CMF 11'!AJ174</f>
        <v>4</v>
      </c>
      <c r="M174" s="30"/>
      <c r="N174" s="30"/>
      <c r="O174" s="30"/>
      <c r="P174" s="30"/>
      <c r="Q174" s="22">
        <f>B174+C174+D174+E174+F174+G174+H174+I174+J174+K174+L174+M174+N174+O174+P174</f>
        <v>75</v>
      </c>
      <c r="R174" s="6"/>
      <c r="S174" s="6"/>
      <c r="T174" s="6"/>
    </row>
    <row r="175" spans="1:20" s="2" customFormat="1" ht="30.75" customHeight="1" thickTop="1" thickBot="1" x14ac:dyDescent="0.3">
      <c r="A175" s="49" t="s">
        <v>30</v>
      </c>
      <c r="B175" s="48">
        <f t="shared" ref="B175:L175" si="22">B153+B154+B155+B156+B157+B158+B159+B160+B161+B162+B163+B164+B165+B166+B168+B169+B170+B171+B172+B173+B174</f>
        <v>18</v>
      </c>
      <c r="C175" s="48">
        <f t="shared" si="22"/>
        <v>18</v>
      </c>
      <c r="D175" s="48">
        <f t="shared" si="22"/>
        <v>19</v>
      </c>
      <c r="E175" s="48">
        <f t="shared" si="22"/>
        <v>26</v>
      </c>
      <c r="F175" s="48">
        <f t="shared" si="22"/>
        <v>12</v>
      </c>
      <c r="G175" s="48">
        <f t="shared" si="22"/>
        <v>16</v>
      </c>
      <c r="H175" s="48">
        <f t="shared" si="22"/>
        <v>19</v>
      </c>
      <c r="I175" s="48">
        <f t="shared" si="22"/>
        <v>18</v>
      </c>
      <c r="J175" s="48">
        <f t="shared" si="22"/>
        <v>19</v>
      </c>
      <c r="K175" s="48">
        <f t="shared" si="22"/>
        <v>17</v>
      </c>
      <c r="L175" s="48">
        <f t="shared" si="22"/>
        <v>18</v>
      </c>
      <c r="M175" s="48"/>
      <c r="N175" s="48"/>
      <c r="O175" s="48"/>
      <c r="P175" s="48"/>
      <c r="Q175" s="48">
        <f>B175+C175+D175+E175+F175+G175+H175+I175+J175+K175+L175+M175+N175+O175+P175</f>
        <v>200</v>
      </c>
      <c r="R175" s="6"/>
      <c r="S175" s="6"/>
      <c r="T175" s="6"/>
    </row>
    <row r="176" spans="1:20" s="2" customFormat="1" ht="30.75" customHeight="1" thickTop="1" thickBot="1" x14ac:dyDescent="0.3">
      <c r="A176" s="47" t="s">
        <v>33</v>
      </c>
      <c r="B176" s="46">
        <f>'[1]CMF 1 '!AJ176</f>
        <v>0</v>
      </c>
      <c r="C176" s="46">
        <f>'[1]CMF 2'!AJ176</f>
        <v>0</v>
      </c>
      <c r="D176" s="46">
        <f>'[1]CMF 3'!AJ176</f>
        <v>0</v>
      </c>
      <c r="E176" s="46">
        <f>'[1]CMF 4'!AJ176</f>
        <v>0</v>
      </c>
      <c r="F176" s="46">
        <f>'[1]CMF 5'!AJ176</f>
        <v>0</v>
      </c>
      <c r="G176" s="46">
        <f>'[1]CMF 6'!AJ176</f>
        <v>0</v>
      </c>
      <c r="H176" s="46">
        <f>'[1]CMF 7'!AJ176</f>
        <v>0</v>
      </c>
      <c r="I176" s="46">
        <f>'[1]CMF 8'!AJ176</f>
        <v>0</v>
      </c>
      <c r="J176" s="46">
        <f>'[1]CMF 9'!AJ176</f>
        <v>0</v>
      </c>
      <c r="K176" s="46">
        <f>'[1]CMF 10'!AJ176</f>
        <v>0</v>
      </c>
      <c r="L176" s="46">
        <f>'[1]CMF 11'!AJ176</f>
        <v>0</v>
      </c>
      <c r="M176" s="46"/>
      <c r="N176" s="46"/>
      <c r="O176" s="46"/>
      <c r="P176" s="46"/>
      <c r="Q176" s="45">
        <f>B176+C176+D176+E176+F176+G176+H176+I176+J176+K176+L176+M176+N176+O176+P176</f>
        <v>0</v>
      </c>
      <c r="R176" s="6"/>
      <c r="S176" s="6"/>
      <c r="T176" s="6"/>
    </row>
    <row r="177" spans="1:20" ht="30.75" customHeight="1" thickTop="1" thickBot="1" x14ac:dyDescent="0.3">
      <c r="A177" s="44" t="s">
        <v>32</v>
      </c>
      <c r="B177" s="43">
        <f>'[1]CMF 1 '!AJ177</f>
        <v>2</v>
      </c>
      <c r="C177" s="43">
        <f>'[1]CMF 2'!AJ177</f>
        <v>0</v>
      </c>
      <c r="D177" s="43">
        <f>'[1]CMF 3'!AJ177</f>
        <v>1</v>
      </c>
      <c r="E177" s="43">
        <f>'[1]CMF 4'!AJ177</f>
        <v>0</v>
      </c>
      <c r="F177" s="43">
        <f>'[1]CMF 5'!AJ177</f>
        <v>0</v>
      </c>
      <c r="G177" s="43">
        <f>'[1]CMF 6'!AJ177</f>
        <v>0</v>
      </c>
      <c r="H177" s="43">
        <f>'[1]CMF 7'!AJ177</f>
        <v>0</v>
      </c>
      <c r="I177" s="43">
        <f>'[1]CMF 8'!AJ177</f>
        <v>1</v>
      </c>
      <c r="J177" s="43">
        <f>'[1]CMF 9'!AJ177</f>
        <v>0</v>
      </c>
      <c r="K177" s="43">
        <f>'[1]CMF 10'!AJ177</f>
        <v>0</v>
      </c>
      <c r="L177" s="43">
        <f>'[1]CMF 11'!AJ177</f>
        <v>0</v>
      </c>
      <c r="M177" s="43"/>
      <c r="N177" s="43"/>
      <c r="O177" s="43"/>
      <c r="P177" s="43"/>
      <c r="Q177" s="42">
        <f>B177+C177+D177+E177+F177+G177+H177+I177+J177+K177+L177+M177+N177+O177+P177</f>
        <v>4</v>
      </c>
      <c r="R177" s="6"/>
      <c r="S177" s="6"/>
      <c r="T177" s="5"/>
    </row>
    <row r="178" spans="1:20" ht="30.75" customHeight="1" thickTop="1" x14ac:dyDescent="0.25">
      <c r="A178" s="41" t="s">
        <v>31</v>
      </c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34" t="s">
        <v>30</v>
      </c>
      <c r="S178" s="39">
        <f>S180</f>
        <v>144</v>
      </c>
      <c r="T178" s="5"/>
    </row>
    <row r="179" spans="1:20" ht="30.75" customHeight="1" thickBot="1" x14ac:dyDescent="0.35">
      <c r="A179" s="38" t="s">
        <v>29</v>
      </c>
      <c r="B179" s="37" t="s">
        <v>28</v>
      </c>
      <c r="C179" s="37"/>
      <c r="D179" s="37"/>
      <c r="E179" s="36" t="s">
        <v>27</v>
      </c>
      <c r="F179" s="36"/>
      <c r="G179" s="36"/>
      <c r="H179" s="36"/>
      <c r="I179" s="36"/>
      <c r="J179" s="36"/>
      <c r="K179" s="36"/>
      <c r="L179" s="37"/>
      <c r="M179" s="37"/>
      <c r="N179" s="37"/>
      <c r="O179" s="36"/>
      <c r="P179" s="36"/>
      <c r="Q179" s="36"/>
      <c r="R179" s="34" t="s">
        <v>26</v>
      </c>
      <c r="S179" s="35"/>
      <c r="T179" s="5"/>
    </row>
    <row r="180" spans="1:20" ht="30.75" customHeight="1" thickTop="1" thickBot="1" x14ac:dyDescent="0.3">
      <c r="A180" s="20" t="s">
        <v>9</v>
      </c>
      <c r="B180" s="19">
        <v>1</v>
      </c>
      <c r="C180" s="19">
        <v>2</v>
      </c>
      <c r="D180" s="19">
        <v>3</v>
      </c>
      <c r="E180" s="19">
        <v>4</v>
      </c>
      <c r="F180" s="19">
        <v>5</v>
      </c>
      <c r="G180" s="19">
        <v>6</v>
      </c>
      <c r="H180" s="19">
        <v>7</v>
      </c>
      <c r="I180" s="19">
        <v>8</v>
      </c>
      <c r="J180" s="19">
        <v>9</v>
      </c>
      <c r="K180" s="19">
        <v>10</v>
      </c>
      <c r="L180" s="19">
        <v>11</v>
      </c>
      <c r="M180" s="19"/>
      <c r="N180" s="19"/>
      <c r="O180" s="19"/>
      <c r="P180" s="19"/>
      <c r="Q180" s="18" t="s">
        <v>8</v>
      </c>
      <c r="R180" s="34" t="s">
        <v>25</v>
      </c>
      <c r="S180" s="33">
        <f>Q197</f>
        <v>144</v>
      </c>
      <c r="T180" s="5"/>
    </row>
    <row r="181" spans="1:20" ht="30.75" customHeight="1" thickTop="1" thickBot="1" x14ac:dyDescent="0.3">
      <c r="A181" s="32" t="s">
        <v>24</v>
      </c>
      <c r="B181" s="31">
        <f t="shared" ref="B181:L181" si="23">SUM(B182+B184)</f>
        <v>0</v>
      </c>
      <c r="C181" s="31">
        <f t="shared" si="23"/>
        <v>10</v>
      </c>
      <c r="D181" s="31">
        <f t="shared" si="23"/>
        <v>3</v>
      </c>
      <c r="E181" s="31">
        <f t="shared" si="23"/>
        <v>14</v>
      </c>
      <c r="F181" s="31">
        <f t="shared" si="23"/>
        <v>18</v>
      </c>
      <c r="G181" s="31">
        <f t="shared" si="23"/>
        <v>18</v>
      </c>
      <c r="H181" s="31">
        <f t="shared" si="23"/>
        <v>3</v>
      </c>
      <c r="I181" s="31">
        <f t="shared" si="23"/>
        <v>10</v>
      </c>
      <c r="J181" s="31">
        <f t="shared" si="23"/>
        <v>7</v>
      </c>
      <c r="K181" s="31">
        <f t="shared" si="23"/>
        <v>13</v>
      </c>
      <c r="L181" s="31">
        <f t="shared" si="23"/>
        <v>1</v>
      </c>
      <c r="M181" s="31"/>
      <c r="N181" s="31"/>
      <c r="O181" s="31"/>
      <c r="P181" s="31"/>
      <c r="Q181" s="31">
        <f>B181+C181+D181+E181+F181+G181+H181+I181+J181+K181+L181+M181+N181+O181+P181</f>
        <v>97</v>
      </c>
      <c r="R181" s="6"/>
      <c r="S181" s="6"/>
      <c r="T181" s="5"/>
    </row>
    <row r="182" spans="1:20" ht="30.75" customHeight="1" thickTop="1" thickBot="1" x14ac:dyDescent="0.3">
      <c r="A182" s="24">
        <v>19</v>
      </c>
      <c r="B182" s="30">
        <f>'[1]CMF 1 '!AJ182</f>
        <v>0</v>
      </c>
      <c r="C182" s="30">
        <f>'[1]CMF 2'!AJ182</f>
        <v>0</v>
      </c>
      <c r="D182" s="30">
        <f>'[1]CMF 3'!AJ182</f>
        <v>0</v>
      </c>
      <c r="E182" s="30">
        <f>'[1]CMF 4'!AJ182</f>
        <v>0</v>
      </c>
      <c r="F182" s="30">
        <f>'[1]CMF 5'!AJ182</f>
        <v>0</v>
      </c>
      <c r="G182" s="30">
        <f>'[1]CMF 6'!AJ182</f>
        <v>2</v>
      </c>
      <c r="H182" s="30">
        <f>'[1]CMF 7'!AJ182</f>
        <v>0</v>
      </c>
      <c r="I182" s="30">
        <f>'[1]CMF 8'!AJ182</f>
        <v>5</v>
      </c>
      <c r="J182" s="30">
        <f>'[1]CMF 9'!AJ182</f>
        <v>1</v>
      </c>
      <c r="K182" s="30">
        <f>'[1]CMF 10'!AJ182</f>
        <v>8</v>
      </c>
      <c r="L182" s="30">
        <f>'[1]CMF 11'!AJ182</f>
        <v>0</v>
      </c>
      <c r="M182" s="30"/>
      <c r="N182" s="30"/>
      <c r="O182" s="30"/>
      <c r="P182" s="30"/>
      <c r="Q182" s="29">
        <f>B182+C182+D182+E182+F182+G182+H182+I182+J182+K182+L182+M182+N182+O182+P182</f>
        <v>16</v>
      </c>
      <c r="R182" s="6"/>
      <c r="S182" s="6"/>
      <c r="T182" s="5"/>
    </row>
    <row r="183" spans="1:20" ht="30.75" customHeight="1" thickTop="1" thickBot="1" x14ac:dyDescent="0.3">
      <c r="A183" s="24" t="s">
        <v>23</v>
      </c>
      <c r="B183" s="30">
        <f>'[1]CMF 1 '!AJ183</f>
        <v>0</v>
      </c>
      <c r="C183" s="30">
        <f>'[1]CMF 2'!AJ183</f>
        <v>27</v>
      </c>
      <c r="D183" s="30">
        <f>'[1]CMF 3'!AJ183</f>
        <v>7</v>
      </c>
      <c r="E183" s="30">
        <f>'[1]CMF 4'!AJ183</f>
        <v>19</v>
      </c>
      <c r="F183" s="30">
        <f>'[1]CMF 5'!AJ183</f>
        <v>36</v>
      </c>
      <c r="G183" s="30">
        <f>'[1]CMF 6'!AJ183</f>
        <v>22</v>
      </c>
      <c r="H183" s="30">
        <f>'[1]CMF 7'!AJ183</f>
        <v>7</v>
      </c>
      <c r="I183" s="30">
        <f>'[1]CMF 8'!AJ183</f>
        <v>15</v>
      </c>
      <c r="J183" s="30">
        <f>'[1]CMF 9'!AJ183</f>
        <v>34</v>
      </c>
      <c r="K183" s="30">
        <f>'[1]CMF 10'!AJ183</f>
        <v>22</v>
      </c>
      <c r="L183" s="30">
        <f>'[1]CMF 11'!AJ183</f>
        <v>1</v>
      </c>
      <c r="M183" s="30"/>
      <c r="N183" s="30"/>
      <c r="O183" s="30"/>
      <c r="P183" s="30"/>
      <c r="Q183" s="29">
        <f>B183+C183+D183+E183+F183+G183+H183+I183+J183+K183+L183+M183+N183+O183+P183</f>
        <v>190</v>
      </c>
      <c r="R183" s="6"/>
      <c r="S183" s="6"/>
      <c r="T183" s="5"/>
    </row>
    <row r="184" spans="1:20" ht="30.75" customHeight="1" thickTop="1" thickBot="1" x14ac:dyDescent="0.3">
      <c r="A184" s="24" t="s">
        <v>22</v>
      </c>
      <c r="B184" s="30">
        <f>'[1]CMF 1 '!AJ184</f>
        <v>0</v>
      </c>
      <c r="C184" s="30">
        <f>'[1]CMF 2'!AJ184</f>
        <v>10</v>
      </c>
      <c r="D184" s="30">
        <f>'[1]CMF 3'!AJ184</f>
        <v>3</v>
      </c>
      <c r="E184" s="30">
        <f>'[1]CMF 4'!AJ184</f>
        <v>14</v>
      </c>
      <c r="F184" s="30">
        <f>'[1]CMF 5'!AJ184</f>
        <v>18</v>
      </c>
      <c r="G184" s="30">
        <f>'[1]CMF 6'!AJ184</f>
        <v>16</v>
      </c>
      <c r="H184" s="30">
        <f>'[1]CMF 7'!AJ184</f>
        <v>3</v>
      </c>
      <c r="I184" s="30">
        <f>'[1]CMF 8'!AJ184</f>
        <v>5</v>
      </c>
      <c r="J184" s="30">
        <f>'[1]CMF 9'!AJ184</f>
        <v>6</v>
      </c>
      <c r="K184" s="30">
        <f>'[1]CMF 10'!AJ184</f>
        <v>5</v>
      </c>
      <c r="L184" s="30">
        <f>'[1]CMF 11'!AJ184</f>
        <v>1</v>
      </c>
      <c r="M184" s="30"/>
      <c r="N184" s="30"/>
      <c r="O184" s="30"/>
      <c r="P184" s="30"/>
      <c r="Q184" s="29">
        <f>B184+C184+D184+E184+F184+G184+H184+I184+J184+K184+L184+M184+N184+O184+P184</f>
        <v>81</v>
      </c>
      <c r="R184" s="6"/>
      <c r="S184" s="6"/>
      <c r="T184" s="5"/>
    </row>
    <row r="185" spans="1:20" ht="30.75" customHeight="1" thickTop="1" thickBot="1" x14ac:dyDescent="0.3">
      <c r="A185" s="32" t="s">
        <v>21</v>
      </c>
      <c r="B185" s="31">
        <f t="shared" ref="B185:L185" si="24">SUM(B186+B187+B188+B189+B190)</f>
        <v>0</v>
      </c>
      <c r="C185" s="31">
        <f t="shared" si="24"/>
        <v>4</v>
      </c>
      <c r="D185" s="31">
        <f t="shared" si="24"/>
        <v>1</v>
      </c>
      <c r="E185" s="31">
        <f t="shared" si="24"/>
        <v>6</v>
      </c>
      <c r="F185" s="31">
        <f t="shared" si="24"/>
        <v>1</v>
      </c>
      <c r="G185" s="31">
        <f t="shared" si="24"/>
        <v>1</v>
      </c>
      <c r="H185" s="31">
        <f t="shared" si="24"/>
        <v>0</v>
      </c>
      <c r="I185" s="31">
        <f t="shared" si="24"/>
        <v>7</v>
      </c>
      <c r="J185" s="31">
        <f t="shared" si="24"/>
        <v>1</v>
      </c>
      <c r="K185" s="31">
        <f t="shared" si="24"/>
        <v>2</v>
      </c>
      <c r="L185" s="31">
        <f t="shared" si="24"/>
        <v>0</v>
      </c>
      <c r="M185" s="31"/>
      <c r="N185" s="31"/>
      <c r="O185" s="31"/>
      <c r="P185" s="31"/>
      <c r="Q185" s="31">
        <f>B185+C185+D185+E185+F185+G185+H185+I185+J185+K185+L185+M185+N185+O185+P185</f>
        <v>23</v>
      </c>
      <c r="R185" s="6"/>
      <c r="S185" s="6"/>
      <c r="T185" s="5"/>
    </row>
    <row r="186" spans="1:20" ht="30.75" customHeight="1" thickTop="1" thickBot="1" x14ac:dyDescent="0.3">
      <c r="A186" s="24" t="s">
        <v>19</v>
      </c>
      <c r="B186" s="30">
        <f>'[1]CMF 1 '!AJ186</f>
        <v>0</v>
      </c>
      <c r="C186" s="30">
        <f>'[1]CMF 2'!AJ186</f>
        <v>0</v>
      </c>
      <c r="D186" s="30">
        <f>'[1]CMF 3'!AJ186</f>
        <v>0</v>
      </c>
      <c r="E186" s="30">
        <f>'[1]CMF 4'!AJ186</f>
        <v>0</v>
      </c>
      <c r="F186" s="30">
        <f>'[1]CMF 5'!AJ186</f>
        <v>0</v>
      </c>
      <c r="G186" s="30">
        <f>'[1]CMF 6'!AJ186</f>
        <v>0</v>
      </c>
      <c r="H186" s="30">
        <f>'[1]CMF 7'!AJ186</f>
        <v>0</v>
      </c>
      <c r="I186" s="30">
        <f>'[1]CMF 8'!AJ186</f>
        <v>0</v>
      </c>
      <c r="J186" s="30">
        <f>'[1]CMF 9'!AJ186</f>
        <v>0</v>
      </c>
      <c r="K186" s="30">
        <f>'[1]CMF 10'!AJ186</f>
        <v>0</v>
      </c>
      <c r="L186" s="30">
        <f>'[1]CMF 11'!AJ186</f>
        <v>0</v>
      </c>
      <c r="M186" s="30"/>
      <c r="N186" s="30"/>
      <c r="O186" s="30"/>
      <c r="P186" s="30"/>
      <c r="Q186" s="29">
        <f>B186+C186+D186+E186+F186+G186+H186+I186+J186+K186+L186+M186+N186+O186+P186</f>
        <v>0</v>
      </c>
      <c r="R186" s="6"/>
      <c r="S186" s="6"/>
      <c r="T186" s="5"/>
    </row>
    <row r="187" spans="1:20" ht="30.75" customHeight="1" thickTop="1" thickBot="1" x14ac:dyDescent="0.3">
      <c r="A187" s="24" t="s">
        <v>18</v>
      </c>
      <c r="B187" s="30">
        <f>'[1]CMF 1 '!AJ187</f>
        <v>0</v>
      </c>
      <c r="C187" s="30">
        <f>'[1]CMF 2'!AJ187</f>
        <v>1</v>
      </c>
      <c r="D187" s="30">
        <f>'[1]CMF 3'!AJ187</f>
        <v>0</v>
      </c>
      <c r="E187" s="30">
        <f>'[1]CMF 4'!AJ187</f>
        <v>0</v>
      </c>
      <c r="F187" s="30">
        <f>'[1]CMF 5'!AJ187</f>
        <v>0</v>
      </c>
      <c r="G187" s="30">
        <f>'[1]CMF 6'!AJ187</f>
        <v>0</v>
      </c>
      <c r="H187" s="30">
        <f>'[1]CMF 7'!AJ187</f>
        <v>0</v>
      </c>
      <c r="I187" s="30">
        <f>'[1]CMF 8'!AJ187</f>
        <v>0</v>
      </c>
      <c r="J187" s="30">
        <f>'[1]CMF 9'!AJ187</f>
        <v>0</v>
      </c>
      <c r="K187" s="30">
        <f>'[1]CMF 10'!AJ187</f>
        <v>0</v>
      </c>
      <c r="L187" s="30">
        <f>'[1]CMF 11'!AJ187</f>
        <v>0</v>
      </c>
      <c r="M187" s="30"/>
      <c r="N187" s="30"/>
      <c r="O187" s="30"/>
      <c r="P187" s="30"/>
      <c r="Q187" s="29">
        <f>B187+C187+D187+E187+F187+G187+H187+I187+J187+K187+L187+M187+N187+O187+P187</f>
        <v>1</v>
      </c>
      <c r="R187" s="6"/>
      <c r="S187" s="6"/>
      <c r="T187" s="5"/>
    </row>
    <row r="188" spans="1:20" ht="30.75" customHeight="1" thickTop="1" thickBot="1" x14ac:dyDescent="0.3">
      <c r="A188" s="24" t="s">
        <v>17</v>
      </c>
      <c r="B188" s="30">
        <f>'[1]CMF 1 '!AJ188</f>
        <v>0</v>
      </c>
      <c r="C188" s="30">
        <f>'[1]CMF 2'!AJ188</f>
        <v>1</v>
      </c>
      <c r="D188" s="30">
        <f>'[1]CMF 3'!AJ188</f>
        <v>1</v>
      </c>
      <c r="E188" s="30">
        <f>'[1]CMF 4'!AJ188</f>
        <v>1</v>
      </c>
      <c r="F188" s="30">
        <f>'[1]CMF 5'!AJ188</f>
        <v>1</v>
      </c>
      <c r="G188" s="30">
        <f>'[1]CMF 6'!AJ188</f>
        <v>0</v>
      </c>
      <c r="H188" s="30">
        <f>'[1]CMF 7'!AJ188</f>
        <v>0</v>
      </c>
      <c r="I188" s="30">
        <f>'[1]CMF 8'!AJ188</f>
        <v>0</v>
      </c>
      <c r="J188" s="30">
        <f>'[1]CMF 9'!AJ188</f>
        <v>0</v>
      </c>
      <c r="K188" s="30">
        <f>'[1]CMF 10'!AJ188</f>
        <v>1</v>
      </c>
      <c r="L188" s="30">
        <f>'[1]CMF 11'!AJ188</f>
        <v>0</v>
      </c>
      <c r="M188" s="30"/>
      <c r="N188" s="30"/>
      <c r="O188" s="30"/>
      <c r="P188" s="30"/>
      <c r="Q188" s="29">
        <f>B188+C188+D188+E188+F188+G188+H188+I188+J188+K188+L188+M188+N188+O188+P188</f>
        <v>5</v>
      </c>
      <c r="R188" s="6"/>
      <c r="S188" s="6"/>
      <c r="T188" s="5"/>
    </row>
    <row r="189" spans="1:20" ht="30.75" customHeight="1" thickTop="1" thickBot="1" x14ac:dyDescent="0.3">
      <c r="A189" s="24" t="s">
        <v>16</v>
      </c>
      <c r="B189" s="30">
        <f>'[1]CMF 1 '!AJ189</f>
        <v>0</v>
      </c>
      <c r="C189" s="30">
        <f>'[1]CMF 2'!AJ189</f>
        <v>2</v>
      </c>
      <c r="D189" s="30">
        <f>'[1]CMF 3'!AJ189</f>
        <v>0</v>
      </c>
      <c r="E189" s="30">
        <f>'[1]CMF 4'!AJ189</f>
        <v>5</v>
      </c>
      <c r="F189" s="30">
        <f>'[1]CMF 5'!AJ189</f>
        <v>0</v>
      </c>
      <c r="G189" s="30">
        <f>'[1]CMF 6'!AJ189</f>
        <v>0</v>
      </c>
      <c r="H189" s="30">
        <f>'[1]CMF 7'!AJ189</f>
        <v>0</v>
      </c>
      <c r="I189" s="30">
        <f>'[1]CMF 8'!AJ189</f>
        <v>7</v>
      </c>
      <c r="J189" s="30">
        <f>'[1]CMF 9'!AJ189</f>
        <v>1</v>
      </c>
      <c r="K189" s="30">
        <f>'[1]CMF 10'!AJ189</f>
        <v>0</v>
      </c>
      <c r="L189" s="30">
        <f>'[1]CMF 11'!AJ189</f>
        <v>0</v>
      </c>
      <c r="M189" s="30"/>
      <c r="N189" s="30"/>
      <c r="O189" s="30"/>
      <c r="P189" s="30"/>
      <c r="Q189" s="29">
        <f>B189+C189+D189+E189+F189+G189+H189+I189+J189+K189+L189+M189+N189+O189+P189</f>
        <v>15</v>
      </c>
      <c r="R189" s="6"/>
      <c r="S189" s="6"/>
      <c r="T189" s="5"/>
    </row>
    <row r="190" spans="1:20" ht="30.75" customHeight="1" thickTop="1" thickBot="1" x14ac:dyDescent="0.3">
      <c r="A190" s="24" t="s">
        <v>15</v>
      </c>
      <c r="B190" s="30">
        <f>'[1]CMF 1 '!AJ190</f>
        <v>0</v>
      </c>
      <c r="C190" s="30">
        <f>'[1]CMF 2'!AJ190</f>
        <v>0</v>
      </c>
      <c r="D190" s="30">
        <f>'[1]CMF 3'!AJ190</f>
        <v>0</v>
      </c>
      <c r="E190" s="30">
        <f>'[1]CMF 4'!AJ190</f>
        <v>0</v>
      </c>
      <c r="F190" s="30">
        <f>'[1]CMF 5'!AJ190</f>
        <v>0</v>
      </c>
      <c r="G190" s="30">
        <f>'[1]CMF 6'!AJ190</f>
        <v>1</v>
      </c>
      <c r="H190" s="30">
        <f>'[1]CMF 7'!AJ190</f>
        <v>0</v>
      </c>
      <c r="I190" s="30">
        <f>'[1]CMF 8'!AJ190</f>
        <v>0</v>
      </c>
      <c r="J190" s="30">
        <f>'[1]CMF 9'!AJ190</f>
        <v>0</v>
      </c>
      <c r="K190" s="30">
        <f>'[1]CMF 10'!AJ190</f>
        <v>1</v>
      </c>
      <c r="L190" s="30">
        <f>'[1]CMF 11'!AJ190</f>
        <v>0</v>
      </c>
      <c r="M190" s="30"/>
      <c r="N190" s="30"/>
      <c r="O190" s="30"/>
      <c r="P190" s="30"/>
      <c r="Q190" s="29">
        <f>B190+C190+D190+E190+F190+G190+H190+I190+J190+K190+L190+M190+N190+O190+P190</f>
        <v>2</v>
      </c>
      <c r="R190" s="6"/>
      <c r="S190" s="6"/>
      <c r="T190" s="5"/>
    </row>
    <row r="191" spans="1:20" ht="30.75" customHeight="1" thickTop="1" thickBot="1" x14ac:dyDescent="0.3">
      <c r="A191" s="32" t="s">
        <v>20</v>
      </c>
      <c r="B191" s="31">
        <f t="shared" ref="B191:L191" si="25">SUM(B192+B193+B194+B195+B196)</f>
        <v>0</v>
      </c>
      <c r="C191" s="31">
        <f t="shared" si="25"/>
        <v>1</v>
      </c>
      <c r="D191" s="31">
        <f t="shared" si="25"/>
        <v>1</v>
      </c>
      <c r="E191" s="31">
        <f t="shared" si="25"/>
        <v>4</v>
      </c>
      <c r="F191" s="31">
        <f t="shared" si="25"/>
        <v>6</v>
      </c>
      <c r="G191" s="31">
        <f t="shared" si="25"/>
        <v>7</v>
      </c>
      <c r="H191" s="31">
        <f t="shared" si="25"/>
        <v>1</v>
      </c>
      <c r="I191" s="31">
        <f t="shared" si="25"/>
        <v>3</v>
      </c>
      <c r="J191" s="31">
        <f t="shared" si="25"/>
        <v>1</v>
      </c>
      <c r="K191" s="31">
        <f t="shared" si="25"/>
        <v>0</v>
      </c>
      <c r="L191" s="31">
        <f t="shared" si="25"/>
        <v>0</v>
      </c>
      <c r="M191" s="31"/>
      <c r="N191" s="31"/>
      <c r="O191" s="31"/>
      <c r="P191" s="31"/>
      <c r="Q191" s="31">
        <f>B191+C191+D191+E191+F191+G191+H191+I191+J191+K191+L191+M191+N191+O191+P191</f>
        <v>24</v>
      </c>
      <c r="R191" s="6"/>
      <c r="S191" s="6"/>
      <c r="T191" s="5"/>
    </row>
    <row r="192" spans="1:20" ht="30.75" customHeight="1" thickTop="1" thickBot="1" x14ac:dyDescent="0.3">
      <c r="A192" s="24" t="s">
        <v>19</v>
      </c>
      <c r="B192" s="30">
        <f>'[1]CMF 1 '!AJ192</f>
        <v>0</v>
      </c>
      <c r="C192" s="30">
        <f>'[1]CMF 2'!AJ192</f>
        <v>0</v>
      </c>
      <c r="D192" s="30">
        <f>'[1]CMF 3'!AJ192</f>
        <v>0</v>
      </c>
      <c r="E192" s="30">
        <f>'[1]CMF 4'!AJ192</f>
        <v>0</v>
      </c>
      <c r="F192" s="30">
        <f>'[1]CMF 5'!AJ192</f>
        <v>0</v>
      </c>
      <c r="G192" s="30">
        <f>'[1]CMF 6'!AJ192</f>
        <v>0</v>
      </c>
      <c r="H192" s="30">
        <f>'[1]CMF 7'!AJ192</f>
        <v>0</v>
      </c>
      <c r="I192" s="30">
        <f>'[1]CMF 8'!AJ192</f>
        <v>0</v>
      </c>
      <c r="J192" s="30">
        <f>'[1]CMF 9'!AJ192</f>
        <v>0</v>
      </c>
      <c r="K192" s="30">
        <f>'[1]CMF 10'!AJ192</f>
        <v>0</v>
      </c>
      <c r="L192" s="30">
        <f>'[1]CMF 11'!AJ192</f>
        <v>0</v>
      </c>
      <c r="M192" s="30"/>
      <c r="N192" s="30"/>
      <c r="O192" s="30"/>
      <c r="P192" s="30"/>
      <c r="Q192" s="29">
        <f>B192+C192+D192+E192+F192+G192+H192+I192+J192+K192+L192+M192+N192+O192+P192</f>
        <v>0</v>
      </c>
      <c r="R192" s="6"/>
      <c r="S192" s="6"/>
      <c r="T192" s="5"/>
    </row>
    <row r="193" spans="1:20" ht="30.75" customHeight="1" thickTop="1" thickBot="1" x14ac:dyDescent="0.3">
      <c r="A193" s="24" t="s">
        <v>18</v>
      </c>
      <c r="B193" s="30">
        <f>'[1]CMF 1 '!AJ193</f>
        <v>0</v>
      </c>
      <c r="C193" s="30">
        <f>'[1]CMF 2'!AJ193</f>
        <v>0</v>
      </c>
      <c r="D193" s="30">
        <f>'[1]CMF 3'!AJ193</f>
        <v>0</v>
      </c>
      <c r="E193" s="30">
        <f>'[1]CMF 4'!AJ193</f>
        <v>0</v>
      </c>
      <c r="F193" s="30">
        <f>'[1]CMF 5'!AJ193</f>
        <v>0</v>
      </c>
      <c r="G193" s="30">
        <f>'[1]CMF 6'!AJ193</f>
        <v>0</v>
      </c>
      <c r="H193" s="30">
        <f>'[1]CMF 7'!AJ193</f>
        <v>0</v>
      </c>
      <c r="I193" s="30">
        <f>'[1]CMF 8'!AJ193</f>
        <v>0</v>
      </c>
      <c r="J193" s="30">
        <f>'[1]CMF 9'!AJ193</f>
        <v>0</v>
      </c>
      <c r="K193" s="30">
        <f>'[1]CMF 10'!AJ193</f>
        <v>0</v>
      </c>
      <c r="L193" s="30">
        <f>'[1]CMF 11'!AJ193</f>
        <v>0</v>
      </c>
      <c r="M193" s="30"/>
      <c r="N193" s="30"/>
      <c r="O193" s="30"/>
      <c r="P193" s="30"/>
      <c r="Q193" s="29">
        <f>B193+C193+D193+E193+F193+G193+H193+I193+J193+K193+L193+M193+N193+O193+P193</f>
        <v>0</v>
      </c>
      <c r="R193" s="6"/>
      <c r="S193" s="6"/>
      <c r="T193" s="5"/>
    </row>
    <row r="194" spans="1:20" ht="30.75" customHeight="1" thickTop="1" thickBot="1" x14ac:dyDescent="0.3">
      <c r="A194" s="24" t="s">
        <v>17</v>
      </c>
      <c r="B194" s="30">
        <f>'[1]CMF 1 '!AJ194</f>
        <v>0</v>
      </c>
      <c r="C194" s="30">
        <f>'[1]CMF 2'!AJ194</f>
        <v>0</v>
      </c>
      <c r="D194" s="30">
        <f>'[1]CMF 3'!AJ194</f>
        <v>0</v>
      </c>
      <c r="E194" s="30">
        <f>'[1]CMF 4'!AJ194</f>
        <v>0</v>
      </c>
      <c r="F194" s="30">
        <f>'[1]CMF 5'!AJ194</f>
        <v>2</v>
      </c>
      <c r="G194" s="30">
        <f>'[1]CMF 6'!AJ194</f>
        <v>0</v>
      </c>
      <c r="H194" s="30">
        <f>'[1]CMF 7'!AJ194</f>
        <v>0</v>
      </c>
      <c r="I194" s="30">
        <f>'[1]CMF 8'!AJ194</f>
        <v>0</v>
      </c>
      <c r="J194" s="30">
        <f>'[1]CMF 9'!AJ194</f>
        <v>0</v>
      </c>
      <c r="K194" s="30">
        <f>'[1]CMF 10'!AJ194</f>
        <v>0</v>
      </c>
      <c r="L194" s="30">
        <f>'[1]CMF 11'!AJ194</f>
        <v>0</v>
      </c>
      <c r="M194" s="30"/>
      <c r="N194" s="30"/>
      <c r="O194" s="30"/>
      <c r="P194" s="30"/>
      <c r="Q194" s="29">
        <f>B194+C194+D194+E194+F194+G194+H194+I194+J194+K194+L194+M194+N194+O194+P194</f>
        <v>2</v>
      </c>
      <c r="R194" s="6"/>
      <c r="S194" s="6"/>
      <c r="T194" s="5"/>
    </row>
    <row r="195" spans="1:20" ht="30.75" customHeight="1" thickTop="1" thickBot="1" x14ac:dyDescent="0.3">
      <c r="A195" s="24" t="s">
        <v>16</v>
      </c>
      <c r="B195" s="30">
        <f>'[1]CMF 1 '!AJ195</f>
        <v>0</v>
      </c>
      <c r="C195" s="30">
        <f>'[1]CMF 2'!AJ195</f>
        <v>1</v>
      </c>
      <c r="D195" s="30">
        <f>'[1]CMF 3'!AJ195</f>
        <v>1</v>
      </c>
      <c r="E195" s="30">
        <f>'[1]CMF 4'!AJ195</f>
        <v>3</v>
      </c>
      <c r="F195" s="30">
        <f>'[1]CMF 5'!AJ195</f>
        <v>0</v>
      </c>
      <c r="G195" s="30">
        <f>'[1]CMF 6'!AJ195</f>
        <v>4</v>
      </c>
      <c r="H195" s="30">
        <f>'[1]CMF 7'!AJ195</f>
        <v>0</v>
      </c>
      <c r="I195" s="30">
        <f>'[1]CMF 8'!AJ195</f>
        <v>2</v>
      </c>
      <c r="J195" s="30">
        <f>'[1]CMF 9'!AJ195</f>
        <v>0</v>
      </c>
      <c r="K195" s="30">
        <f>'[1]CMF 10'!AJ195</f>
        <v>0</v>
      </c>
      <c r="L195" s="30">
        <f>'[1]CMF 11'!AJ195</f>
        <v>0</v>
      </c>
      <c r="M195" s="30"/>
      <c r="N195" s="30"/>
      <c r="O195" s="30"/>
      <c r="P195" s="30"/>
      <c r="Q195" s="29">
        <f>B195+C195+D195+E195+F195+G195+H195+I195+J195+K195+L195+M195+N195+O195+P195</f>
        <v>11</v>
      </c>
      <c r="R195" s="6"/>
      <c r="S195" s="6"/>
      <c r="T195" s="5"/>
    </row>
    <row r="196" spans="1:20" ht="30.75" customHeight="1" thickTop="1" thickBot="1" x14ac:dyDescent="0.3">
      <c r="A196" s="24" t="s">
        <v>15</v>
      </c>
      <c r="B196" s="30">
        <f>'[1]CMF 1 '!AJ196</f>
        <v>0</v>
      </c>
      <c r="C196" s="30">
        <f>'[1]CMF 2'!AJ196</f>
        <v>0</v>
      </c>
      <c r="D196" s="30">
        <f>'[1]CMF 3'!AJ196</f>
        <v>0</v>
      </c>
      <c r="E196" s="30">
        <f>'[1]CMF 4'!AJ196</f>
        <v>1</v>
      </c>
      <c r="F196" s="30">
        <f>'[1]CMF 5'!AJ196</f>
        <v>4</v>
      </c>
      <c r="G196" s="30">
        <f>'[1]CMF 6'!AJ196</f>
        <v>3</v>
      </c>
      <c r="H196" s="30">
        <f>'[1]CMF 7'!AJ196</f>
        <v>1</v>
      </c>
      <c r="I196" s="30">
        <f>'[1]CMF 8'!AJ196</f>
        <v>1</v>
      </c>
      <c r="J196" s="30">
        <f>'[1]CMF 9'!AJ196</f>
        <v>1</v>
      </c>
      <c r="K196" s="30">
        <f>'[1]CMF 10'!AJ196</f>
        <v>0</v>
      </c>
      <c r="L196" s="30">
        <f>'[1]CMF 11'!AJ196</f>
        <v>0</v>
      </c>
      <c r="M196" s="30"/>
      <c r="N196" s="30"/>
      <c r="O196" s="30"/>
      <c r="P196" s="30"/>
      <c r="Q196" s="29">
        <f>B196+C196+D196+E196+F196+G196+H196+I196+J196+K196+L196+M196+N196+O196+P196</f>
        <v>11</v>
      </c>
      <c r="R196" s="6"/>
      <c r="S196" s="6"/>
      <c r="T196" s="5"/>
    </row>
    <row r="197" spans="1:20" ht="30.75" customHeight="1" thickTop="1" thickBot="1" x14ac:dyDescent="0.3">
      <c r="A197" s="28" t="s">
        <v>14</v>
      </c>
      <c r="B197" s="27">
        <f t="shared" ref="B197:L197" si="26">B181+B185+B191</f>
        <v>0</v>
      </c>
      <c r="C197" s="27">
        <f t="shared" si="26"/>
        <v>15</v>
      </c>
      <c r="D197" s="27">
        <f t="shared" si="26"/>
        <v>5</v>
      </c>
      <c r="E197" s="27">
        <f t="shared" si="26"/>
        <v>24</v>
      </c>
      <c r="F197" s="27">
        <f t="shared" si="26"/>
        <v>25</v>
      </c>
      <c r="G197" s="27">
        <f t="shared" si="26"/>
        <v>26</v>
      </c>
      <c r="H197" s="27">
        <f t="shared" si="26"/>
        <v>4</v>
      </c>
      <c r="I197" s="27">
        <f t="shared" si="26"/>
        <v>20</v>
      </c>
      <c r="J197" s="27">
        <f t="shared" si="26"/>
        <v>9</v>
      </c>
      <c r="K197" s="27">
        <f t="shared" si="26"/>
        <v>15</v>
      </c>
      <c r="L197" s="27">
        <f t="shared" si="26"/>
        <v>1</v>
      </c>
      <c r="M197" s="27"/>
      <c r="N197" s="27"/>
      <c r="O197" s="27"/>
      <c r="P197" s="27"/>
      <c r="Q197" s="27">
        <f>B197+C197+D197+E197+F197+G197+H197+I197+J197+K197+L197+M197+N197+O197+P197</f>
        <v>144</v>
      </c>
      <c r="R197" s="6"/>
      <c r="S197" s="6"/>
      <c r="T197" s="5"/>
    </row>
    <row r="198" spans="1:20" ht="30.75" customHeight="1" thickTop="1" thickBot="1" x14ac:dyDescent="0.3">
      <c r="A198" s="26" t="s">
        <v>13</v>
      </c>
      <c r="B198" s="25">
        <f t="shared" ref="B198:L198" si="27">SUM(B199:B201)</f>
        <v>0</v>
      </c>
      <c r="C198" s="25">
        <f t="shared" si="27"/>
        <v>0</v>
      </c>
      <c r="D198" s="25">
        <f t="shared" si="27"/>
        <v>0</v>
      </c>
      <c r="E198" s="25">
        <f t="shared" si="27"/>
        <v>0</v>
      </c>
      <c r="F198" s="25">
        <f t="shared" si="27"/>
        <v>0</v>
      </c>
      <c r="G198" s="25">
        <f t="shared" si="27"/>
        <v>0</v>
      </c>
      <c r="H198" s="25">
        <f t="shared" si="27"/>
        <v>0</v>
      </c>
      <c r="I198" s="25">
        <f t="shared" si="27"/>
        <v>0</v>
      </c>
      <c r="J198" s="25">
        <f t="shared" si="27"/>
        <v>0</v>
      </c>
      <c r="K198" s="25">
        <f t="shared" si="27"/>
        <v>0</v>
      </c>
      <c r="L198" s="25">
        <f t="shared" si="27"/>
        <v>0</v>
      </c>
      <c r="M198" s="25"/>
      <c r="N198" s="25"/>
      <c r="O198" s="25"/>
      <c r="P198" s="25"/>
      <c r="Q198" s="25">
        <f>B198+C198+D198+E198+F198+G198+H198+I198+J198+K198+L198+M198+N198+O198+P198</f>
        <v>0</v>
      </c>
      <c r="R198" s="21"/>
      <c r="S198" s="6"/>
      <c r="T198" s="5"/>
    </row>
    <row r="199" spans="1:20" ht="30.75" customHeight="1" thickTop="1" thickBot="1" x14ac:dyDescent="0.3">
      <c r="A199" s="24" t="s">
        <v>12</v>
      </c>
      <c r="B199" s="23">
        <f>'[1]CMF 1 '!AJ199</f>
        <v>0</v>
      </c>
      <c r="C199" s="23">
        <f>'[1]CMF 2'!AJ199</f>
        <v>0</v>
      </c>
      <c r="D199" s="23">
        <f>'[1]CMF 3'!AJ199</f>
        <v>0</v>
      </c>
      <c r="E199" s="23">
        <f>'[1]CMF 4'!AJ199</f>
        <v>0</v>
      </c>
      <c r="F199" s="23">
        <f>'[1]CMF 5'!AJ199</f>
        <v>0</v>
      </c>
      <c r="G199" s="23">
        <f>'[1]CMF 6'!AJ199</f>
        <v>0</v>
      </c>
      <c r="H199" s="23">
        <f>'[1]CMF 7'!AJ199</f>
        <v>0</v>
      </c>
      <c r="I199" s="23">
        <f>'[1]CMF 8'!AJ199</f>
        <v>0</v>
      </c>
      <c r="J199" s="23">
        <f>'[1]CMF 9'!AJ199</f>
        <v>0</v>
      </c>
      <c r="K199" s="23">
        <f>'[1]CMF 10'!AJ199</f>
        <v>0</v>
      </c>
      <c r="L199" s="23">
        <f>'[1]CMF 11'!AJ199</f>
        <v>0</v>
      </c>
      <c r="M199" s="23"/>
      <c r="N199" s="23"/>
      <c r="O199" s="23"/>
      <c r="P199" s="23"/>
      <c r="Q199" s="22">
        <f>B199+C199+D199+E199+F199+G199+H199+I199+J199+K199+L199+M199+N199+O199+P199</f>
        <v>0</v>
      </c>
      <c r="R199" s="21"/>
      <c r="S199" s="6"/>
      <c r="T199" s="5"/>
    </row>
    <row r="200" spans="1:20" ht="30.75" customHeight="1" thickTop="1" thickBot="1" x14ac:dyDescent="0.3">
      <c r="A200" s="24" t="s">
        <v>11</v>
      </c>
      <c r="B200" s="23">
        <f>'[1]CMF 1 '!AJ200</f>
        <v>0</v>
      </c>
      <c r="C200" s="23">
        <f>'[1]CMF 2'!AJ200</f>
        <v>0</v>
      </c>
      <c r="D200" s="23">
        <f>'[1]CMF 3'!AJ200</f>
        <v>0</v>
      </c>
      <c r="E200" s="23">
        <f>'[1]CMF 4'!AJ200</f>
        <v>0</v>
      </c>
      <c r="F200" s="23">
        <f>'[1]CMF 5'!AJ200</f>
        <v>0</v>
      </c>
      <c r="G200" s="23">
        <f>'[1]CMF 6'!AJ200</f>
        <v>0</v>
      </c>
      <c r="H200" s="23">
        <f>'[1]CMF 7'!AJ200</f>
        <v>0</v>
      </c>
      <c r="I200" s="23">
        <f>'[1]CMF 8'!AJ200</f>
        <v>0</v>
      </c>
      <c r="J200" s="23">
        <f>'[1]CMF 9'!AJ200</f>
        <v>0</v>
      </c>
      <c r="K200" s="23">
        <f>'[1]CMF 10'!AJ200</f>
        <v>0</v>
      </c>
      <c r="L200" s="23">
        <f>'[1]CMF 11'!AJ200</f>
        <v>0</v>
      </c>
      <c r="M200" s="23"/>
      <c r="N200" s="23"/>
      <c r="O200" s="23"/>
      <c r="P200" s="23"/>
      <c r="Q200" s="22">
        <f>B200+C200+D200+E200+F200+G200+H200+I200+J200+K200+L200+M200+N200+O200+P200</f>
        <v>0</v>
      </c>
      <c r="R200" s="21"/>
      <c r="S200" s="6"/>
      <c r="T200" s="5"/>
    </row>
    <row r="201" spans="1:20" ht="30.75" customHeight="1" thickTop="1" thickBot="1" x14ac:dyDescent="0.3">
      <c r="A201" s="24" t="s">
        <v>10</v>
      </c>
      <c r="B201" s="23">
        <f>'[1]CMF 1 '!AJ201</f>
        <v>0</v>
      </c>
      <c r="C201" s="23">
        <f>'[1]CMF 2'!AJ201</f>
        <v>0</v>
      </c>
      <c r="D201" s="23">
        <f>'[1]CMF 3'!AJ201</f>
        <v>0</v>
      </c>
      <c r="E201" s="23">
        <f>'[1]CMF 4'!AJ201</f>
        <v>0</v>
      </c>
      <c r="F201" s="23">
        <f>'[1]CMF 5'!AJ201</f>
        <v>0</v>
      </c>
      <c r="G201" s="23">
        <f>'[1]CMF 6'!AJ201</f>
        <v>0</v>
      </c>
      <c r="H201" s="23">
        <f>'[1]CMF 7'!AJ201</f>
        <v>0</v>
      </c>
      <c r="I201" s="23">
        <f>'[1]CMF 8'!AJ201</f>
        <v>0</v>
      </c>
      <c r="J201" s="23">
        <f>'[1]CMF 9'!AJ201</f>
        <v>0</v>
      </c>
      <c r="K201" s="23">
        <f>'[1]CMF 10'!AJ201</f>
        <v>0</v>
      </c>
      <c r="L201" s="23">
        <f>'[1]CMF 11'!AJ201</f>
        <v>0</v>
      </c>
      <c r="M201" s="23"/>
      <c r="N201" s="23"/>
      <c r="O201" s="23"/>
      <c r="P201" s="23"/>
      <c r="Q201" s="22">
        <f>B201+C201+D201+E201+F201+G201+H201+I201+J201+K201+L201+M201+N201+O201+P201</f>
        <v>0</v>
      </c>
      <c r="R201" s="21"/>
      <c r="S201" s="6"/>
      <c r="T201" s="5"/>
    </row>
    <row r="202" spans="1:20" ht="30.75" customHeight="1" thickTop="1" thickBot="1" x14ac:dyDescent="0.3">
      <c r="A202" s="20" t="s">
        <v>9</v>
      </c>
      <c r="B202" s="19">
        <v>1</v>
      </c>
      <c r="C202" s="19">
        <v>2</v>
      </c>
      <c r="D202" s="19">
        <v>3</v>
      </c>
      <c r="E202" s="19">
        <v>4</v>
      </c>
      <c r="F202" s="19">
        <v>5</v>
      </c>
      <c r="G202" s="19">
        <v>6</v>
      </c>
      <c r="H202" s="19">
        <v>7</v>
      </c>
      <c r="I202" s="19">
        <v>8</v>
      </c>
      <c r="J202" s="19">
        <v>9</v>
      </c>
      <c r="K202" s="19">
        <v>10</v>
      </c>
      <c r="L202" s="19">
        <v>11</v>
      </c>
      <c r="M202" s="19"/>
      <c r="N202" s="19"/>
      <c r="O202" s="19"/>
      <c r="P202" s="19"/>
      <c r="Q202" s="18" t="s">
        <v>8</v>
      </c>
      <c r="R202" s="6"/>
      <c r="S202" s="6"/>
      <c r="T202" s="5"/>
    </row>
    <row r="203" spans="1:20" ht="30" customHeight="1" thickTop="1" thickBot="1" x14ac:dyDescent="0.3">
      <c r="A203" s="15" t="s">
        <v>6</v>
      </c>
      <c r="B203" s="14">
        <f t="shared" ref="B203:Q203" si="28">B4+B8+B12+B16+B58+B110+B116+B122+B128</f>
        <v>1210</v>
      </c>
      <c r="C203" s="14">
        <f t="shared" si="28"/>
        <v>1158</v>
      </c>
      <c r="D203" s="14">
        <f t="shared" si="28"/>
        <v>1231</v>
      </c>
      <c r="E203" s="14">
        <f t="shared" si="28"/>
        <v>1236</v>
      </c>
      <c r="F203" s="14">
        <f t="shared" si="28"/>
        <v>852</v>
      </c>
      <c r="G203" s="14">
        <f t="shared" si="28"/>
        <v>1315</v>
      </c>
      <c r="H203" s="14">
        <f t="shared" si="28"/>
        <v>1204</v>
      </c>
      <c r="I203" s="14">
        <f t="shared" si="28"/>
        <v>1074</v>
      </c>
      <c r="J203" s="14">
        <f t="shared" si="28"/>
        <v>1141</v>
      </c>
      <c r="K203" s="14">
        <f t="shared" si="28"/>
        <v>1172</v>
      </c>
      <c r="L203" s="14">
        <f t="shared" si="28"/>
        <v>1016</v>
      </c>
      <c r="M203" s="14"/>
      <c r="N203" s="14"/>
      <c r="O203" s="14"/>
      <c r="P203" s="14"/>
      <c r="Q203" s="14">
        <f t="shared" si="28"/>
        <v>12609</v>
      </c>
      <c r="R203" s="6"/>
      <c r="S203" s="6"/>
      <c r="T203" s="5"/>
    </row>
    <row r="204" spans="1:20" ht="30" customHeight="1" thickTop="1" thickBot="1" x14ac:dyDescent="0.3">
      <c r="A204" s="17" t="s">
        <v>7</v>
      </c>
      <c r="B204" s="16">
        <f t="shared" ref="B204:Q204" si="29">B28/B203*100</f>
        <v>52.975206611570243</v>
      </c>
      <c r="C204" s="16">
        <f t="shared" si="29"/>
        <v>42.400690846286707</v>
      </c>
      <c r="D204" s="16">
        <f t="shared" si="29"/>
        <v>52.396425670186844</v>
      </c>
      <c r="E204" s="16">
        <f t="shared" si="29"/>
        <v>57.686084142394819</v>
      </c>
      <c r="F204" s="16">
        <f t="shared" si="29"/>
        <v>34.037558685446015</v>
      </c>
      <c r="G204" s="16">
        <f t="shared" si="29"/>
        <v>43.574144486692013</v>
      </c>
      <c r="H204" s="16">
        <f t="shared" si="29"/>
        <v>52.242524916943523</v>
      </c>
      <c r="I204" s="16">
        <f t="shared" si="29"/>
        <v>48.975791433891992</v>
      </c>
      <c r="J204" s="16">
        <f t="shared" si="29"/>
        <v>40.929009640666081</v>
      </c>
      <c r="K204" s="16">
        <f t="shared" si="29"/>
        <v>39.419795221843003</v>
      </c>
      <c r="L204" s="16">
        <f t="shared" si="29"/>
        <v>40.354330708661415</v>
      </c>
      <c r="M204" s="16"/>
      <c r="N204" s="16"/>
      <c r="O204" s="16"/>
      <c r="P204" s="16"/>
      <c r="Q204" s="16">
        <f t="shared" si="29"/>
        <v>46.371639305258149</v>
      </c>
      <c r="R204" s="6"/>
      <c r="S204" s="6"/>
      <c r="T204" s="5"/>
    </row>
    <row r="205" spans="1:20" ht="30" customHeight="1" thickTop="1" thickBot="1" x14ac:dyDescent="0.3">
      <c r="A205" s="15" t="s">
        <v>6</v>
      </c>
      <c r="B205" s="14">
        <f>'[1]CMF 1 '!AL1</f>
        <v>1210</v>
      </c>
      <c r="C205" s="14">
        <f>'[1]CMF 2'!AL1</f>
        <v>1158</v>
      </c>
      <c r="D205" s="14">
        <f>'[1]CMF 3'!AL1</f>
        <v>1231</v>
      </c>
      <c r="E205" s="14">
        <f>'[1]CMF 4'!AL1</f>
        <v>1236</v>
      </c>
      <c r="F205" s="14">
        <f>'[1]CMF 5'!AL1</f>
        <v>852</v>
      </c>
      <c r="G205" s="14">
        <f>'[1]CMF 6'!AL1</f>
        <v>1315</v>
      </c>
      <c r="H205" s="14">
        <f>'[1]CMF 7'!AL1</f>
        <v>1204</v>
      </c>
      <c r="I205" s="14">
        <f>'[1]CMF 8'!AL1</f>
        <v>1074</v>
      </c>
      <c r="J205" s="14">
        <f>'[1]CMF 9'!AL1</f>
        <v>1141</v>
      </c>
      <c r="K205" s="14">
        <f>'[1]CMF 10'!AL1</f>
        <v>1125</v>
      </c>
      <c r="L205" s="14">
        <f>'[1]CMF 11'!AL1</f>
        <v>1016</v>
      </c>
      <c r="M205" s="14"/>
      <c r="N205" s="14"/>
      <c r="O205" s="14"/>
      <c r="P205" s="14"/>
      <c r="Q205" s="14">
        <f>S1</f>
        <v>19854</v>
      </c>
      <c r="R205" s="9">
        <f>B205+C205+D205+E205+F205+G205+H205+I205+J205+K205+L205+M205+N205+O205+P205</f>
        <v>12562</v>
      </c>
      <c r="S205" s="6"/>
      <c r="T205" s="5"/>
    </row>
    <row r="206" spans="1:20" ht="30" customHeight="1" thickTop="1" thickBot="1" x14ac:dyDescent="0.3">
      <c r="A206" s="13" t="s">
        <v>5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6"/>
      <c r="S206" s="6"/>
      <c r="T206" s="5"/>
    </row>
    <row r="207" spans="1:20" ht="30" customHeight="1" thickTop="1" thickBot="1" x14ac:dyDescent="0.3">
      <c r="A207" s="11" t="s">
        <v>4</v>
      </c>
      <c r="B207" s="10">
        <f>'[1]CMF 1 '!AL2</f>
        <v>516</v>
      </c>
      <c r="C207" s="10">
        <f>'[1]CMF 2'!AL2</f>
        <v>536</v>
      </c>
      <c r="D207" s="10">
        <f>'[1]CMF 3'!AL2</f>
        <v>610</v>
      </c>
      <c r="E207" s="10">
        <f>'[1]CMF 4'!AL2</f>
        <v>505</v>
      </c>
      <c r="F207" s="10">
        <f>'[1]CMF 5'!AL2</f>
        <v>273</v>
      </c>
      <c r="G207" s="10">
        <f>'[1]CMF 6'!AL2</f>
        <v>565</v>
      </c>
      <c r="H207" s="10">
        <f>'[1]CMF 7'!AL2</f>
        <v>538</v>
      </c>
      <c r="I207" s="10">
        <f>'[1]CMF 8'!AL2</f>
        <v>383</v>
      </c>
      <c r="J207" s="10">
        <f>'[1]CMF 9'!AL2</f>
        <v>492</v>
      </c>
      <c r="K207" s="10">
        <f>'[1]CMF 10'!AL2</f>
        <v>462</v>
      </c>
      <c r="L207" s="10">
        <f>'[1]CMF 11'!AL2</f>
        <v>437</v>
      </c>
      <c r="M207" s="10"/>
      <c r="N207" s="10"/>
      <c r="O207" s="10"/>
      <c r="P207" s="10"/>
      <c r="Q207" s="10">
        <f>S2</f>
        <v>12609</v>
      </c>
      <c r="R207" s="9">
        <f>B207+C207+D207+E207+F207+G207+H207+I207+J207+K207+L207+M207+N207+O207+P207</f>
        <v>5317</v>
      </c>
      <c r="S207" s="6"/>
      <c r="T207" s="5"/>
    </row>
    <row r="208" spans="1:20" ht="30" customHeight="1" thickTop="1" thickBot="1" x14ac:dyDescent="0.3">
      <c r="A208" s="8" t="s">
        <v>3</v>
      </c>
      <c r="B208" s="7">
        <f t="shared" ref="B208:L208" si="30">B206-B207</f>
        <v>-516</v>
      </c>
      <c r="C208" s="7">
        <f t="shared" si="30"/>
        <v>-536</v>
      </c>
      <c r="D208" s="7">
        <f t="shared" si="30"/>
        <v>-610</v>
      </c>
      <c r="E208" s="7">
        <f t="shared" si="30"/>
        <v>-505</v>
      </c>
      <c r="F208" s="7">
        <f t="shared" si="30"/>
        <v>-273</v>
      </c>
      <c r="G208" s="7">
        <f t="shared" si="30"/>
        <v>-565</v>
      </c>
      <c r="H208" s="7">
        <f t="shared" si="30"/>
        <v>-538</v>
      </c>
      <c r="I208" s="7">
        <f t="shared" si="30"/>
        <v>-383</v>
      </c>
      <c r="J208" s="7">
        <f t="shared" si="30"/>
        <v>-492</v>
      </c>
      <c r="K208" s="7">
        <f t="shared" si="30"/>
        <v>-462</v>
      </c>
      <c r="L208" s="7">
        <f t="shared" si="30"/>
        <v>-437</v>
      </c>
      <c r="M208" s="7"/>
      <c r="N208" s="7"/>
      <c r="O208" s="7"/>
      <c r="P208" s="7"/>
      <c r="Q208" s="7">
        <f>B208+C208+D208+E208+F208+G208+H208+I208+J208+K208+L208+M208+N208+O208+P208</f>
        <v>-5317</v>
      </c>
      <c r="R208" s="6"/>
      <c r="S208" s="6"/>
      <c r="T208" s="5"/>
    </row>
    <row r="209" spans="1:20" ht="30" customHeight="1" thickTop="1" thickBot="1" x14ac:dyDescent="0.3">
      <c r="A209" s="13" t="s">
        <v>2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6"/>
      <c r="S209" s="6"/>
      <c r="T209" s="5"/>
    </row>
    <row r="210" spans="1:20" ht="30" customHeight="1" thickTop="1" thickBot="1" x14ac:dyDescent="0.3">
      <c r="A210" s="11" t="s">
        <v>1</v>
      </c>
      <c r="B210" s="10">
        <f>'[1]CMF 1 '!AL3</f>
        <v>694</v>
      </c>
      <c r="C210" s="10">
        <f>'[1]CMF 2'!AL3</f>
        <v>622</v>
      </c>
      <c r="D210" s="10">
        <f>'[1]CMF 3'!AL3</f>
        <v>621</v>
      </c>
      <c r="E210" s="10">
        <f>'[1]CMF 4'!AL3</f>
        <v>731</v>
      </c>
      <c r="F210" s="10">
        <f>'[1]CMF 5'!AL3</f>
        <v>579</v>
      </c>
      <c r="G210" s="10">
        <f>'[1]CMF 6'!AL3</f>
        <v>750</v>
      </c>
      <c r="H210" s="10">
        <f>'[1]CMF 7'!AL3</f>
        <v>666</v>
      </c>
      <c r="I210" s="10">
        <f>'[1]CMF 8'!AL3</f>
        <v>691</v>
      </c>
      <c r="J210" s="10">
        <f>'[1]CMF 9'!AL3</f>
        <v>649</v>
      </c>
      <c r="K210" s="10">
        <f>'[1]CMF 10'!AL3</f>
        <v>663</v>
      </c>
      <c r="L210" s="10">
        <f>'[1]CMF 11'!AL3</f>
        <v>579</v>
      </c>
      <c r="M210" s="10"/>
      <c r="N210" s="10"/>
      <c r="O210" s="10"/>
      <c r="P210" s="10"/>
      <c r="Q210" s="10">
        <f>S8</f>
        <v>0</v>
      </c>
      <c r="R210" s="9">
        <f>B210+C210+D210+E210+F210+G210+H210+I210+J210+K210+L210+M210+N210+O210+P210</f>
        <v>7245</v>
      </c>
      <c r="S210" s="6"/>
      <c r="T210" s="5"/>
    </row>
    <row r="211" spans="1:20" ht="30" customHeight="1" thickTop="1" thickBot="1" x14ac:dyDescent="0.3">
      <c r="A211" s="8" t="s">
        <v>0</v>
      </c>
      <c r="B211" s="7">
        <f t="shared" ref="B211:L211" si="31">B209-B210</f>
        <v>-694</v>
      </c>
      <c r="C211" s="7">
        <f t="shared" si="31"/>
        <v>-622</v>
      </c>
      <c r="D211" s="7">
        <f t="shared" si="31"/>
        <v>-621</v>
      </c>
      <c r="E211" s="7">
        <f t="shared" si="31"/>
        <v>-731</v>
      </c>
      <c r="F211" s="7">
        <f t="shared" si="31"/>
        <v>-579</v>
      </c>
      <c r="G211" s="7">
        <f t="shared" si="31"/>
        <v>-750</v>
      </c>
      <c r="H211" s="7">
        <f t="shared" si="31"/>
        <v>-666</v>
      </c>
      <c r="I211" s="7">
        <f t="shared" si="31"/>
        <v>-691</v>
      </c>
      <c r="J211" s="7">
        <f t="shared" si="31"/>
        <v>-649</v>
      </c>
      <c r="K211" s="7">
        <f t="shared" si="31"/>
        <v>-663</v>
      </c>
      <c r="L211" s="7">
        <f t="shared" si="31"/>
        <v>-579</v>
      </c>
      <c r="M211" s="7"/>
      <c r="N211" s="7"/>
      <c r="O211" s="7"/>
      <c r="P211" s="7"/>
      <c r="Q211" s="7">
        <f>B211+C211+D211+E211+F211+G211+H211+I211+J211+K211+L211+M211+N211+O211+P211</f>
        <v>-7245</v>
      </c>
      <c r="R211" s="6"/>
      <c r="S211" s="6"/>
      <c r="T211" s="5"/>
    </row>
    <row r="212" spans="1:20" ht="30" customHeight="1" thickTop="1" x14ac:dyDescent="0.25"/>
  </sheetData>
  <mergeCells count="3">
    <mergeCell ref="B1:Q1"/>
    <mergeCell ref="B2:Q2"/>
    <mergeCell ref="S105:T105"/>
  </mergeCells>
  <pageMargins left="0.39370078740157483" right="0" top="0.39370078740157483" bottom="0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Moreno Portuondo</dc:creator>
  <cp:lastModifiedBy>Carlos Enrique Moreno Portuondo</cp:lastModifiedBy>
  <dcterms:created xsi:type="dcterms:W3CDTF">2026-04-29T20:57:31Z</dcterms:created>
  <dcterms:modified xsi:type="dcterms:W3CDTF">2026-04-29T21:57:57Z</dcterms:modified>
</cp:coreProperties>
</file>